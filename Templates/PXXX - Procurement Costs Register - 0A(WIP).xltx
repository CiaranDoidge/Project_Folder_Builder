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2"/>
  <workbookPr refreshAllConnections="1" defaultThemeVersion="166925"/>
  <mc:AlternateContent xmlns:mc="http://schemas.openxmlformats.org/markup-compatibility/2006">
    <mc:Choice Requires="x15">
      <x15ac:absPath xmlns:x15ac="http://schemas.microsoft.com/office/spreadsheetml/2010/11/ac" url="/Users/ciarandoidge/Documents/Documents - ciaran’s MacBook Pro/Projects/Management and Templates/PXXX - Project/BOM/"/>
    </mc:Choice>
  </mc:AlternateContent>
  <xr:revisionPtr revIDLastSave="0" documentId="8_{7FD4BBEB-BDA4-0949-BDC9-43BFA22F4480}" xr6:coauthVersionLast="36" xr6:coauthVersionMax="36" xr10:uidLastSave="{00000000-0000-0000-0000-000000000000}"/>
  <bookViews>
    <workbookView xWindow="0" yWindow="500" windowWidth="28800" windowHeight="17500" xr2:uid="{3EC371C5-BA68-467F-9C71-95267D738538}"/>
  </bookViews>
  <sheets>
    <sheet name="Procurement Costs" sheetId="3" r:id="rId1"/>
    <sheet name="Currency Exchange" sheetId="4" state="hidden" r:id="rId2"/>
  </sheets>
  <externalReferences>
    <externalReference r:id="rId3"/>
  </externalReferences>
  <definedNames>
    <definedName name="BuildQty" localSheetId="0">[1]BOM!$J$3</definedName>
    <definedName name="BuildQty">[1]BOM!$J$3</definedName>
    <definedName name="Client" localSheetId="0">[1]Revision!$C$7</definedName>
    <definedName name="Client">[1]Revision!$C$7</definedName>
    <definedName name="currencyList" localSheetId="0">[1]BOM!$L$7:$L$8</definedName>
    <definedName name="currencyList">[1]BOM!$L$7:$L$8</definedName>
    <definedName name="CurrencySelected" localSheetId="0">[1]BOM!$M$3</definedName>
    <definedName name="CurrencySelected">[1]BOM!$M$3</definedName>
    <definedName name="ExRate" localSheetId="0">[1]BOM!$M$5</definedName>
    <definedName name="ExRate">[1]BOM!$M$5</definedName>
    <definedName name="ExternalData_1" localSheetId="1" hidden="1">'Currency Exchange'!$A$1:$K$149</definedName>
    <definedName name="FileName" localSheetId="0">[1]Revision!$C$5</definedName>
    <definedName name="FileName">[1]Revision!$C$5</definedName>
    <definedName name="HrRate" localSheetId="0">#REF!</definedName>
    <definedName name="HrRate">#REF!</definedName>
    <definedName name="Issue" localSheetId="0">[1]Revision!$C$10</definedName>
    <definedName name="Issue">[1]Revision!$C$10</definedName>
    <definedName name="Margin" localSheetId="0">'Procurement Costs'!#REF!</definedName>
    <definedName name="Margin">#REF!</definedName>
    <definedName name="_xlnm.Print_Area" localSheetId="0">'Procurement Costs'!$A$1:$L$34</definedName>
    <definedName name="ProjectNo" localSheetId="0">[1]Revision!$C$6</definedName>
    <definedName name="ProjectNo">[1]Revision!$C$6</definedName>
    <definedName name="Title" localSheetId="0">[1]Revision!$C$8</definedName>
    <definedName name="Title">[1]Revision!$C$8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61" i="3" l="1"/>
  <c r="I61" i="3" s="1"/>
  <c r="H62" i="3"/>
  <c r="H63" i="3"/>
  <c r="H64" i="3"/>
  <c r="H65" i="3"/>
  <c r="H66" i="3"/>
  <c r="H67" i="3"/>
  <c r="I67" i="3" s="1"/>
  <c r="H68" i="3"/>
  <c r="I68" i="3" s="1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I62" i="3"/>
  <c r="I63" i="3"/>
  <c r="I64" i="3"/>
  <c r="I65" i="3"/>
  <c r="I66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H35" i="3"/>
  <c r="I35" i="3" s="1"/>
  <c r="H36" i="3"/>
  <c r="H37" i="3"/>
  <c r="I37" i="3" s="1"/>
  <c r="H38" i="3"/>
  <c r="I38" i="3" s="1"/>
  <c r="H39" i="3"/>
  <c r="I39" i="3" s="1"/>
  <c r="H40" i="3"/>
  <c r="H41" i="3"/>
  <c r="I41" i="3" s="1"/>
  <c r="H42" i="3"/>
  <c r="I42" i="3" s="1"/>
  <c r="H43" i="3"/>
  <c r="I43" i="3" s="1"/>
  <c r="H44" i="3"/>
  <c r="H45" i="3"/>
  <c r="H46" i="3"/>
  <c r="I46" i="3" s="1"/>
  <c r="H47" i="3"/>
  <c r="I47" i="3" s="1"/>
  <c r="H48" i="3"/>
  <c r="I48" i="3" s="1"/>
  <c r="H49" i="3"/>
  <c r="I49" i="3" s="1"/>
  <c r="H50" i="3"/>
  <c r="I50" i="3" s="1"/>
  <c r="H51" i="3"/>
  <c r="I51" i="3" s="1"/>
  <c r="H52" i="3"/>
  <c r="H53" i="3"/>
  <c r="H54" i="3"/>
  <c r="I54" i="3" s="1"/>
  <c r="H55" i="3"/>
  <c r="I55" i="3" s="1"/>
  <c r="H56" i="3"/>
  <c r="I56" i="3" s="1"/>
  <c r="H57" i="3"/>
  <c r="I57" i="3" s="1"/>
  <c r="H58" i="3"/>
  <c r="I58" i="3" s="1"/>
  <c r="H59" i="3"/>
  <c r="I59" i="3" s="1"/>
  <c r="H60" i="3"/>
  <c r="I36" i="3"/>
  <c r="I40" i="3"/>
  <c r="I44" i="3"/>
  <c r="I45" i="3"/>
  <c r="I52" i="3"/>
  <c r="I53" i="3"/>
  <c r="I60" i="3"/>
  <c r="H18" i="3" l="1"/>
  <c r="O8" i="3"/>
  <c r="O7" i="3"/>
  <c r="O6" i="3"/>
  <c r="O5" i="3"/>
  <c r="H12" i="3" l="1"/>
  <c r="I12" i="3" s="1"/>
  <c r="H13" i="3"/>
  <c r="I13" i="3" s="1"/>
  <c r="H14" i="3"/>
  <c r="I14" i="3" s="1"/>
  <c r="H15" i="3"/>
  <c r="I15" i="3" s="1"/>
  <c r="H16" i="3"/>
  <c r="H17" i="3"/>
  <c r="I17" i="3" s="1"/>
  <c r="I18" i="3"/>
  <c r="H19" i="3"/>
  <c r="I19" i="3" s="1"/>
  <c r="H20" i="3"/>
  <c r="I20" i="3" s="1"/>
  <c r="H21" i="3"/>
  <c r="I21" i="3" s="1"/>
  <c r="H22" i="3"/>
  <c r="I22" i="3" s="1"/>
  <c r="H23" i="3"/>
  <c r="I23" i="3" s="1"/>
  <c r="H24" i="3"/>
  <c r="I24" i="3" s="1"/>
  <c r="H27" i="3"/>
  <c r="I27" i="3" s="1"/>
  <c r="H28" i="3"/>
  <c r="I28" i="3" s="1"/>
  <c r="H29" i="3"/>
  <c r="I29" i="3" s="1"/>
  <c r="H30" i="3"/>
  <c r="I30" i="3" s="1"/>
  <c r="H31" i="3"/>
  <c r="I31" i="3" s="1"/>
  <c r="H32" i="3"/>
  <c r="I32" i="3" s="1"/>
  <c r="H33" i="3"/>
  <c r="I33" i="3" s="1"/>
  <c r="H34" i="3"/>
  <c r="I34" i="3" s="1"/>
  <c r="H11" i="3"/>
  <c r="I11" i="3" l="1"/>
  <c r="I6" i="3"/>
  <c r="I16" i="3"/>
  <c r="I2" i="3" l="1"/>
  <c r="I4" i="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986A19B-4B68-46A2-AAAA-6C1CD3EFFC28}" keepAlive="1" name="Query - nzd" description="Connection to the 'nzd' query in the workbook." type="5" refreshedVersion="6" background="1" saveData="1">
    <dbPr connection="Provider=Microsoft.Mashup.OleDb.1;Data Source=$Workbook$;Location=nzd;Extended Properties=&quot;&quot;" command="SELECT * FROM [nzd]"/>
  </connection>
</connections>
</file>

<file path=xl/sharedStrings.xml><?xml version="1.0" encoding="utf-8"?>
<sst xmlns="http://schemas.openxmlformats.org/spreadsheetml/2006/main" count="40" uniqueCount="36">
  <si>
    <t>Ordered</t>
  </si>
  <si>
    <t>Received</t>
  </si>
  <si>
    <t>To be Approved</t>
  </si>
  <si>
    <t>Date</t>
  </si>
  <si>
    <t>PO Number</t>
  </si>
  <si>
    <t>Status</t>
  </si>
  <si>
    <t>Notes</t>
  </si>
  <si>
    <t>Infact Document Control</t>
  </si>
  <si>
    <t>Client Total Procurement Cost</t>
  </si>
  <si>
    <t>NZD</t>
  </si>
  <si>
    <t>Project No:</t>
  </si>
  <si>
    <t>Approved Budget</t>
  </si>
  <si>
    <t>Currency Conversion to NZD</t>
  </si>
  <si>
    <t>Value</t>
  </si>
  <si>
    <t>InFact Margin</t>
  </si>
  <si>
    <t>Project:</t>
  </si>
  <si>
    <t>Remaining Budget</t>
  </si>
  <si>
    <t>Client</t>
  </si>
  <si>
    <t>Note: All costs exclude GST and customs duties</t>
  </si>
  <si>
    <t>AUD</t>
  </si>
  <si>
    <t>Status Key</t>
  </si>
  <si>
    <t>USD</t>
  </si>
  <si>
    <t>Description</t>
  </si>
  <si>
    <t>GBP</t>
  </si>
  <si>
    <t>EU</t>
  </si>
  <si>
    <t>Order Qty</t>
  </si>
  <si>
    <t>Unit Cost (ex GST)</t>
  </si>
  <si>
    <t>Currency</t>
  </si>
  <si>
    <t>Order Sub Total [NZD]</t>
  </si>
  <si>
    <t>Client Cost Sub Total [NZD]</t>
  </si>
  <si>
    <t>Pricing</t>
  </si>
  <si>
    <t>Actual Total Cost</t>
  </si>
  <si>
    <t>Approval Date:</t>
  </si>
  <si>
    <t>PO Ref:</t>
  </si>
  <si>
    <t>Estimate</t>
  </si>
  <si>
    <t>Quoted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</si>
</sst>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&quot;$&quot;* #,##0.00_-;\-&quot;$&quot;* #,##0.00_-;_-&quot;$&quot;* &quot;-&quot;??_-;_-@_-"/>
  </numFmts>
  <fonts count="13" x14ac:knownFonts="1"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color rgb="FF333333"/>
      <name val="Arial"/>
      <family val="2"/>
    </font>
    <font>
      <sz val="10"/>
      <color theme="1"/>
      <name val="Arial"/>
      <family val="2"/>
    </font>
    <font>
      <b/>
      <sz val="14"/>
      <color indexed="9"/>
      <name val="Arial"/>
      <family val="2"/>
    </font>
    <font>
      <b/>
      <sz val="10"/>
      <color theme="1"/>
      <name val="Arial"/>
      <family val="2"/>
    </font>
    <font>
      <b/>
      <i/>
      <sz val="10"/>
      <name val="Arial"/>
      <family val="2"/>
    </font>
    <font>
      <b/>
      <sz val="12"/>
      <color theme="0"/>
      <name val="Calibri"/>
      <family val="2"/>
      <scheme val="minor"/>
    </font>
    <font>
      <b/>
      <sz val="10"/>
      <color rgb="FF333333"/>
      <name val="Arial"/>
      <family val="2"/>
    </font>
    <font>
      <sz val="10"/>
      <color theme="5" tint="-0.249977111117893"/>
      <name val="Arial"/>
      <family val="2"/>
    </font>
    <font>
      <sz val="10"/>
      <color theme="4" tint="-0.499984740745262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theme="6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26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6">
    <xf numFmtId="0" fontId="0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</cellStyleXfs>
  <cellXfs count="72">
    <xf numFmtId="0" fontId="0" fillId="0" borderId="0" xfId="0"/>
    <xf numFmtId="14" fontId="2" fillId="0" borderId="0" xfId="2" applyNumberFormat="1"/>
    <xf numFmtId="0" fontId="2" fillId="0" borderId="0" xfId="2"/>
    <xf numFmtId="0" fontId="3" fillId="2" borderId="6" xfId="4" applyFont="1" applyFill="1" applyBorder="1" applyAlignment="1">
      <alignment vertical="center"/>
    </xf>
    <xf numFmtId="0" fontId="6" fillId="2" borderId="7" xfId="4" applyFont="1" applyFill="1" applyBorder="1" applyAlignment="1">
      <alignment vertical="center"/>
    </xf>
    <xf numFmtId="0" fontId="6" fillId="2" borderId="8" xfId="4" applyFont="1" applyFill="1" applyBorder="1" applyAlignment="1">
      <alignment vertical="center"/>
    </xf>
    <xf numFmtId="0" fontId="6" fillId="0" borderId="0" xfId="4" applyFont="1" applyAlignment="1">
      <alignment vertical="center"/>
    </xf>
    <xf numFmtId="0" fontId="3" fillId="4" borderId="2" xfId="2" applyFont="1" applyFill="1" applyBorder="1"/>
    <xf numFmtId="0" fontId="2" fillId="0" borderId="0" xfId="3" applyAlignment="1">
      <alignment vertical="top"/>
    </xf>
    <xf numFmtId="0" fontId="3" fillId="4" borderId="3" xfId="2" applyFont="1" applyFill="1" applyBorder="1"/>
    <xf numFmtId="0" fontId="2" fillId="4" borderId="6" xfId="2" applyFill="1" applyBorder="1"/>
    <xf numFmtId="0" fontId="2" fillId="4" borderId="7" xfId="3" applyFill="1" applyBorder="1"/>
    <xf numFmtId="0" fontId="2" fillId="4" borderId="8" xfId="3" applyFill="1" applyBorder="1"/>
    <xf numFmtId="0" fontId="9" fillId="0" borderId="0" xfId="2" applyFont="1" applyAlignment="1">
      <alignment wrapText="1"/>
    </xf>
    <xf numFmtId="0" fontId="0" fillId="0" borderId="0" xfId="0" applyNumberFormat="1"/>
    <xf numFmtId="22" fontId="0" fillId="0" borderId="0" xfId="0" applyNumberFormat="1"/>
    <xf numFmtId="164" fontId="4" fillId="0" borderId="0" xfId="1" applyFont="1" applyBorder="1" applyProtection="1"/>
    <xf numFmtId="164" fontId="10" fillId="0" borderId="0" xfId="1" applyFont="1" applyBorder="1" applyProtection="1"/>
    <xf numFmtId="14" fontId="2" fillId="0" borderId="0" xfId="2" applyNumberFormat="1" applyAlignment="1" applyProtection="1">
      <alignment horizontal="center"/>
      <protection locked="0"/>
    </xf>
    <xf numFmtId="0" fontId="5" fillId="0" borderId="0" xfId="2" applyFont="1" applyProtection="1">
      <protection locked="0"/>
    </xf>
    <xf numFmtId="0" fontId="2" fillId="0" borderId="0" xfId="2" applyAlignment="1" applyProtection="1">
      <alignment horizontal="center"/>
      <protection locked="0"/>
    </xf>
    <xf numFmtId="164" fontId="0" fillId="0" borderId="0" xfId="1" applyFont="1" applyBorder="1" applyProtection="1">
      <protection locked="0"/>
    </xf>
    <xf numFmtId="164" fontId="4" fillId="0" borderId="0" xfId="1" applyFont="1" applyBorder="1" applyProtection="1">
      <protection locked="0"/>
    </xf>
    <xf numFmtId="0" fontId="2" fillId="0" borderId="0" xfId="2" applyProtection="1">
      <protection locked="0"/>
    </xf>
    <xf numFmtId="164" fontId="0" fillId="0" borderId="0" xfId="1" applyFont="1" applyFill="1" applyBorder="1" applyProtection="1">
      <protection locked="0"/>
    </xf>
    <xf numFmtId="0" fontId="5" fillId="0" borderId="0" xfId="2" applyFont="1" applyFill="1" applyAlignment="1" applyProtection="1">
      <alignment horizontal="left"/>
      <protection locked="0"/>
    </xf>
    <xf numFmtId="0" fontId="2" fillId="0" borderId="0" xfId="2" applyFill="1" applyProtection="1">
      <protection locked="0"/>
    </xf>
    <xf numFmtId="0" fontId="2" fillId="0" borderId="9" xfId="2" applyBorder="1" applyProtection="1">
      <protection locked="0"/>
    </xf>
    <xf numFmtId="164" fontId="7" fillId="4" borderId="10" xfId="1" applyFont="1" applyFill="1" applyBorder="1" applyProtection="1">
      <protection locked="0"/>
    </xf>
    <xf numFmtId="0" fontId="2" fillId="0" borderId="13" xfId="2" applyBorder="1" applyProtection="1">
      <protection locked="0"/>
    </xf>
    <xf numFmtId="164" fontId="7" fillId="4" borderId="0" xfId="1" applyFont="1" applyFill="1" applyBorder="1" applyProtection="1">
      <protection locked="0"/>
    </xf>
    <xf numFmtId="0" fontId="2" fillId="0" borderId="17" xfId="2" applyBorder="1" applyProtection="1">
      <protection locked="0"/>
    </xf>
    <xf numFmtId="164" fontId="3" fillId="2" borderId="5" xfId="1" applyFont="1" applyFill="1" applyBorder="1" applyProtection="1">
      <protection locked="0"/>
    </xf>
    <xf numFmtId="0" fontId="8" fillId="0" borderId="0" xfId="2" applyFont="1" applyProtection="1">
      <protection locked="0"/>
    </xf>
    <xf numFmtId="0" fontId="3" fillId="0" borderId="21" xfId="2" applyFont="1" applyBorder="1" applyProtection="1">
      <protection locked="0"/>
    </xf>
    <xf numFmtId="164" fontId="3" fillId="0" borderId="22" xfId="2" applyNumberFormat="1" applyFont="1" applyBorder="1" applyProtection="1">
      <protection locked="0"/>
    </xf>
    <xf numFmtId="0" fontId="2" fillId="0" borderId="10" xfId="2" applyBorder="1" applyProtection="1">
      <protection locked="0"/>
    </xf>
    <xf numFmtId="0" fontId="2" fillId="0" borderId="11" xfId="2" applyBorder="1" applyProtection="1">
      <protection locked="0"/>
    </xf>
    <xf numFmtId="164" fontId="7" fillId="2" borderId="0" xfId="1" applyFont="1" applyFill="1" applyBorder="1" applyProtection="1">
      <protection locked="0"/>
    </xf>
    <xf numFmtId="164" fontId="7" fillId="2" borderId="14" xfId="1" applyFont="1" applyFill="1" applyBorder="1" applyProtection="1">
      <protection locked="0"/>
    </xf>
    <xf numFmtId="0" fontId="3" fillId="2" borderId="4" xfId="2" applyFont="1" applyFill="1" applyBorder="1" applyAlignment="1" applyProtection="1">
      <alignment horizontal="center"/>
      <protection locked="0"/>
    </xf>
    <xf numFmtId="0" fontId="3" fillId="2" borderId="15" xfId="2" applyFont="1" applyFill="1" applyBorder="1" applyAlignment="1" applyProtection="1">
      <alignment horizontal="center"/>
      <protection locked="0"/>
    </xf>
    <xf numFmtId="9" fontId="0" fillId="4" borderId="15" xfId="5" applyFont="1" applyFill="1" applyBorder="1" applyAlignment="1" applyProtection="1">
      <alignment horizontal="center"/>
      <protection locked="0"/>
    </xf>
    <xf numFmtId="0" fontId="2" fillId="0" borderId="5" xfId="2" applyBorder="1" applyProtection="1">
      <protection locked="0"/>
    </xf>
    <xf numFmtId="0" fontId="2" fillId="0" borderId="18" xfId="2" applyBorder="1" applyProtection="1">
      <protection locked="0"/>
    </xf>
    <xf numFmtId="0" fontId="2" fillId="4" borderId="1" xfId="2" applyFill="1" applyBorder="1" applyAlignment="1" applyProtection="1">
      <alignment horizontal="center"/>
      <protection locked="0"/>
    </xf>
    <xf numFmtId="2" fontId="2" fillId="4" borderId="1" xfId="2" applyNumberFormat="1" applyFill="1" applyBorder="1" applyAlignment="1" applyProtection="1">
      <alignment horizontal="center"/>
      <protection locked="0"/>
    </xf>
    <xf numFmtId="49" fontId="2" fillId="0" borderId="0" xfId="2" applyNumberFormat="1" applyAlignment="1" applyProtection="1">
      <alignment horizontal="center"/>
      <protection locked="0"/>
    </xf>
    <xf numFmtId="2" fontId="2" fillId="0" borderId="0" xfId="2" applyNumberFormat="1" applyAlignment="1" applyProtection="1">
      <alignment horizontal="center"/>
      <protection locked="0"/>
    </xf>
    <xf numFmtId="0" fontId="1" fillId="5" borderId="20" xfId="2" applyFont="1" applyFill="1" applyBorder="1" applyAlignment="1" applyProtection="1">
      <alignment horizontal="center"/>
      <protection locked="0"/>
    </xf>
    <xf numFmtId="49" fontId="2" fillId="4" borderId="0" xfId="2" applyNumberFormat="1" applyFill="1" applyAlignment="1" applyProtection="1">
      <alignment horizontal="center"/>
      <protection locked="0"/>
    </xf>
    <xf numFmtId="2" fontId="2" fillId="4" borderId="0" xfId="2" applyNumberFormat="1" applyFill="1" applyAlignment="1" applyProtection="1">
      <alignment horizontal="center"/>
      <protection locked="0"/>
    </xf>
    <xf numFmtId="0" fontId="9" fillId="0" borderId="0" xfId="2" applyFont="1" applyAlignment="1" applyProtection="1">
      <alignment wrapText="1"/>
      <protection locked="0"/>
    </xf>
    <xf numFmtId="0" fontId="9" fillId="0" borderId="0" xfId="2" applyFont="1" applyProtection="1">
      <protection locked="0"/>
    </xf>
    <xf numFmtId="164" fontId="2" fillId="0" borderId="0" xfId="2" applyNumberFormat="1" applyProtection="1">
      <protection locked="0"/>
    </xf>
    <xf numFmtId="0" fontId="11" fillId="6" borderId="23" xfId="2" applyFont="1" applyFill="1" applyBorder="1"/>
    <xf numFmtId="0" fontId="12" fillId="7" borderId="24" xfId="2" applyFont="1" applyFill="1" applyBorder="1"/>
    <xf numFmtId="0" fontId="5" fillId="3" borderId="24" xfId="2" applyFont="1" applyFill="1" applyBorder="1" applyAlignment="1" applyProtection="1">
      <alignment horizontal="left"/>
      <protection locked="0"/>
    </xf>
    <xf numFmtId="0" fontId="5" fillId="0" borderId="24" xfId="2" applyFont="1" applyBorder="1" applyAlignment="1" applyProtection="1">
      <alignment horizontal="left"/>
      <protection locked="0"/>
    </xf>
    <xf numFmtId="0" fontId="5" fillId="3" borderId="25" xfId="2" applyFont="1" applyFill="1" applyBorder="1" applyAlignment="1" applyProtection="1">
      <alignment horizontal="left"/>
      <protection locked="0"/>
    </xf>
    <xf numFmtId="0" fontId="0" fillId="0" borderId="0" xfId="2" applyFont="1" applyAlignment="1" applyProtection="1">
      <alignment horizontal="center"/>
      <protection locked="0"/>
    </xf>
    <xf numFmtId="0" fontId="0" fillId="0" borderId="0" xfId="2" applyFont="1" applyAlignment="1" applyProtection="1">
      <protection locked="0"/>
    </xf>
    <xf numFmtId="164" fontId="0" fillId="0" borderId="0" xfId="1" applyFont="1" applyProtection="1">
      <protection locked="0"/>
    </xf>
    <xf numFmtId="164" fontId="0" fillId="0" borderId="0" xfId="1" applyNumberFormat="1" applyFont="1" applyProtection="1"/>
    <xf numFmtId="164" fontId="10" fillId="0" borderId="0" xfId="1" applyNumberFormat="1" applyFont="1" applyProtection="1"/>
    <xf numFmtId="0" fontId="0" fillId="0" borderId="0" xfId="2" applyFont="1" applyProtection="1">
      <protection locked="0"/>
    </xf>
    <xf numFmtId="0" fontId="2" fillId="4" borderId="1" xfId="3" applyFill="1" applyBorder="1" applyAlignment="1">
      <alignment horizontal="left"/>
    </xf>
    <xf numFmtId="0" fontId="2" fillId="4" borderId="12" xfId="3" applyFill="1" applyBorder="1" applyAlignment="1">
      <alignment horizontal="left"/>
    </xf>
    <xf numFmtId="0" fontId="2" fillId="4" borderId="0" xfId="2" applyFill="1" applyAlignment="1">
      <alignment horizontal="left"/>
    </xf>
    <xf numFmtId="0" fontId="2" fillId="4" borderId="16" xfId="2" applyFill="1" applyBorder="1" applyAlignment="1">
      <alignment horizontal="left"/>
    </xf>
    <xf numFmtId="0" fontId="2" fillId="4" borderId="4" xfId="2" applyFill="1" applyBorder="1" applyAlignment="1">
      <alignment horizontal="left"/>
    </xf>
    <xf numFmtId="0" fontId="2" fillId="4" borderId="19" xfId="2" applyFill="1" applyBorder="1" applyAlignment="1">
      <alignment horizontal="left"/>
    </xf>
  </cellXfs>
  <cellStyles count="6">
    <cellStyle name="Currency" xfId="1" builtinId="4"/>
    <cellStyle name="Normal" xfId="0" builtinId="0"/>
    <cellStyle name="Normal 2" xfId="2" xr:uid="{77756454-516A-4AF5-9136-16404570A20D}"/>
    <cellStyle name="Normal_P290 BOM Part Numbers" xfId="4" xr:uid="{BA5A6BF4-724E-4AB0-8FCF-1E38AF2BB8DB}"/>
    <cellStyle name="Percent 2" xfId="5" xr:uid="{748A01A6-F0B0-48E6-A1AB-1E4DEE314C79}"/>
    <cellStyle name="Style 1" xfId="3" xr:uid="{71A5B250-CC3E-4860-8A07-D2BEE24AD78B}"/>
  </cellStyles>
  <dxfs count="5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d/mm/yyyy\ h:mm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protection locked="0" hidden="0"/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protection locked="0" hidden="0"/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Arial"/>
        <family val="2"/>
        <scheme val="none"/>
      </font>
      <numFmt numFmtId="164" formatCode="_-&quot;$&quot;* #,##0.00_-;\-&quot;$&quot;* #,##0.00_-;_-&quot;$&quot;* &quot;-&quot;??_-;_-@_-"/>
      <protection locked="1" hidden="0"/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numFmt numFmtId="164" formatCode="_-&quot;$&quot;* #,##0.00_-;\-&quot;$&quot;* #,##0.00_-;_-&quot;$&quot;* &quot;-&quot;??_-;_-@_-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protection locked="0" hidden="0"/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alignment horizontal="general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alignment horizontal="center" vertical="bottom" textRotation="0" wrapText="0" indent="0" justifyLastLine="0" shrinkToFit="0" readingOrder="0"/>
      <protection locked="0" hidden="0"/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alignment horizontal="general" vertical="bottom" textRotation="0" wrapText="1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979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979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979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979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9797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979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connections" Target="connection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infactltd.sharepoint.com/InFact/P460-Atrax-CCN%20-%20Documents/BOM/P460-901-0A(WIP)%20BO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OM"/>
      <sheetName val="Part Numbers"/>
      <sheetName val="Connector Costs"/>
      <sheetName val="Hardware and BOM Estimate"/>
      <sheetName val="Tooling estimates (WIP)"/>
      <sheetName val="Revision"/>
      <sheetName val="Tooling estimates 20-08-19"/>
    </sheetNames>
    <sheetDataSet>
      <sheetData sheetId="0">
        <row r="3">
          <cell r="J3">
            <v>1</v>
          </cell>
          <cell r="M3" t="str">
            <v>USD</v>
          </cell>
        </row>
        <row r="5">
          <cell r="M5">
            <v>1.48</v>
          </cell>
        </row>
        <row r="7">
          <cell r="L7" t="str">
            <v>USD</v>
          </cell>
        </row>
        <row r="8">
          <cell r="L8" t="str">
            <v>NZD</v>
          </cell>
        </row>
      </sheetData>
      <sheetData sheetId="1" refreshError="1"/>
      <sheetData sheetId="2" refreshError="1"/>
      <sheetData sheetId="3" refreshError="1"/>
      <sheetData sheetId="4" refreshError="1"/>
      <sheetData sheetId="5">
        <row r="5">
          <cell r="C5" t="str">
            <v>P460-901-0A(WIP) BOM.xlsm</v>
          </cell>
        </row>
        <row r="6">
          <cell r="C6" t="str">
            <v>P460</v>
          </cell>
        </row>
        <row r="7">
          <cell r="C7" t="str">
            <v>Atrax</v>
          </cell>
        </row>
        <row r="8">
          <cell r="C8" t="str">
            <v>Conveyor Control Node</v>
          </cell>
        </row>
        <row r="10">
          <cell r="C10" t="str">
            <v>0A (WIP)</v>
          </cell>
        </row>
      </sheetData>
      <sheetData sheetId="6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E98A3FB-E9DF-444D-A2CB-5B56EBE486EE}" autoFormatId="16" applyNumberFormats="0" applyBorderFormats="0" applyFontFormats="0" applyPatternFormats="0" applyAlignmentFormats="0" applyWidthHeightFormats="0">
  <queryTableRefresh nextId="12">
    <queryTableFields count="11">
      <queryTableField id="1" name="title" tableColumnId="1"/>
      <queryTableField id="2" name="link" tableColumnId="2"/>
      <queryTableField id="3" name="description" tableColumnId="3"/>
      <queryTableField id="4" name="pubDate" tableColumnId="4"/>
      <queryTableField id="5" name="baseCurrency" tableColumnId="5"/>
      <queryTableField id="6" name="baseName" tableColumnId="6"/>
      <queryTableField id="7" name="targetCurrency" tableColumnId="7"/>
      <queryTableField id="8" name="targetName" tableColumnId="8"/>
      <queryTableField id="9" name="exchangeRate" tableColumnId="9"/>
      <queryTableField id="10" name="inverseRate" tableColumnId="10"/>
      <queryTableField id="11" name="inverseDescription" tableColumnId="11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B7A7B66-3EEB-4D2A-8CCE-FE72B8E91968}" name="Table132" displayName="Table132" ref="B10:L84" totalsRowShown="0" headerRowDxfId="28" dataDxfId="27" tableBorderDxfId="26">
  <autoFilter ref="B10:L84" xr:uid="{BA0A7232-35AF-48AE-B2F3-91499B266972}"/>
  <sortState ref="B11:L34">
    <sortCondition ref="B10:B34"/>
  </sortState>
  <tableColumns count="11">
    <tableColumn id="12" xr3:uid="{EEC9713A-80C4-4B69-9729-2F41E9D6FE94}" name="PO Number" dataDxfId="25"/>
    <tableColumn id="1" xr3:uid="{6D12F18D-D5AD-4471-8411-DBE1E6882338}" name="Date" dataDxfId="24"/>
    <tableColumn id="2" xr3:uid="{83BCBA37-F867-48B3-895C-D3E73D565ED9}" name="Description" dataDxfId="23"/>
    <tableColumn id="3" xr3:uid="{E183DA03-CF23-480F-A5FB-1ACC2EFF4F81}" name="Order Qty" dataDxfId="22"/>
    <tableColumn id="7" xr3:uid="{8F62B3BD-EDDE-4B96-8084-677BD73D735C}" name="Unit Cost (ex GST)" dataDxfId="21" dataCellStyle="Currency"/>
    <tableColumn id="11" xr3:uid="{76AB2EDE-BF59-4911-940F-9F2D6077C05F}" name="Currency" dataDxfId="20" dataCellStyle="Currency"/>
    <tableColumn id="4" xr3:uid="{64BD0623-71F9-46F6-A635-F86738D292E6}" name="Order Sub Total [NZD]" dataDxfId="19" dataCellStyle="Currency">
      <calculatedColumnFormula>IF(ISBLANK(Table132[[#This Row],[Unit Cost (ex GST)]]),"",IF(ISBLANK(Table132[[#This Row],[Currency]]),"Select Currency",(Table132[[#This Row],[Order Qty]]*Table132[[#This Row],[Unit Cost (ex GST)]])*VLOOKUP(G11,Table35[#All],2,FALSE)))</calculatedColumnFormula>
    </tableColumn>
    <tableColumn id="6" xr3:uid="{E2FA6BFE-57F5-460C-8725-41242EAC43FB}" name="Client Cost Sub Total [NZD]" dataDxfId="18" dataCellStyle="Currency">
      <calculatedColumnFormula>IF(N(Table132[[#This Row],[Order Sub Total '[NZD']]]),Table132[[#This Row],[Order Sub Total '[NZD']]]+(Table132[[#This Row],[Order Sub Total '[NZD']]]*$R$3),"")</calculatedColumnFormula>
    </tableColumn>
    <tableColumn id="5" xr3:uid="{25D014D8-533B-4F65-835D-BE2CEC22449A}" name="Status" dataDxfId="17"/>
    <tableColumn id="8" xr3:uid="{CE502905-DC8E-47B0-ADAB-1A3462C12DD2}" name="Pricing" dataDxfId="16"/>
    <tableColumn id="9" xr3:uid="{78411A18-E4F4-46B6-AD5C-B2CF793CE3A8}" name="Notes" dataDxfId="15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9977111-F6CE-44E5-B8D3-56939A63FA08}" name="Table35" displayName="Table35" ref="N3:O8" totalsRowShown="0" headerRowDxfId="14" dataDxfId="12" headerRowBorderDxfId="13" tableBorderDxfId="11">
  <autoFilter ref="N3:O8" xr:uid="{95E02817-2FD7-4B2D-9538-8828B57AEC79}"/>
  <tableColumns count="2">
    <tableColumn id="1" xr3:uid="{37A7DD04-E8B8-43EB-B7EF-E9CBD045F3DA}" name="Currency Conversion to NZD" dataDxfId="10"/>
    <tableColumn id="2" xr3:uid="{C7DB02B3-4F51-4037-AE99-76FF0A602A61}" name="Value" dataDxfId="9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B7C42FC-F671-4259-A41E-C0FE4CA060BB}" name="nzd" displayName="nzd" ref="A1:K149" tableType="queryTable" totalsRowShown="0">
  <autoFilter ref="A1:K149" xr:uid="{D590BE11-55EC-4388-84A7-07F4451D829C}"/>
  <tableColumns count="11">
    <tableColumn id="1" xr3:uid="{A5E8A4A9-DD20-48D8-A63B-C9C6F5E51FDF}" uniqueName="1" name="Column1" queryTableFieldId="1" dataDxfId="8"/>
    <tableColumn id="2" xr3:uid="{D24E4A69-3FA5-44D1-9899-0B5D70574852}" uniqueName="2" name="Column2" queryTableFieldId="2" dataDxfId="7"/>
    <tableColumn id="3" xr3:uid="{EB694756-87AE-470E-B321-504497300BA8}" uniqueName="3" name="Column3" queryTableFieldId="3" dataDxfId="6"/>
    <tableColumn id="4" xr3:uid="{A54CD78B-6E64-421F-AB62-2C23C33F3F7E}" uniqueName="4" name="Column4" queryTableFieldId="4" dataDxfId="5"/>
    <tableColumn id="5" xr3:uid="{573A4053-2794-4F49-9137-1FEBF7544B37}" uniqueName="5" name="Column5" queryTableFieldId="5" dataDxfId="4"/>
    <tableColumn id="6" xr3:uid="{E6EF244A-61F6-4F05-ADEE-F9B3B727C73E}" uniqueName="6" name="Column6" queryTableFieldId="6" dataDxfId="3"/>
    <tableColumn id="7" xr3:uid="{55ACBFF3-84E1-4B38-9D5F-98CC571F06AF}" uniqueName="7" name="Column7" queryTableFieldId="7" dataDxfId="2"/>
    <tableColumn id="8" xr3:uid="{49B95111-9F35-4D5E-A374-75CB026A6DD6}" uniqueName="8" name="Column8" queryTableFieldId="8" dataDxfId="1"/>
    <tableColumn id="9" xr3:uid="{4DBB8A1F-9106-4048-B6C4-DB63927AE295}" uniqueName="9" name="Column9" queryTableFieldId="9"/>
    <tableColumn id="10" xr3:uid="{41FCB0B6-AF98-4FFE-AC81-764B04DF420A}" uniqueName="10" name="Column10" queryTableFieldId="10"/>
    <tableColumn id="11" xr3:uid="{DC83EA43-B6A3-4B80-AA8C-6914D280E625}" uniqueName="11" name="Column11" queryTableFieldId="11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FF69BA-4633-4718-BFC1-D205D032177E}">
  <sheetPr>
    <pageSetUpPr fitToPage="1"/>
  </sheetPr>
  <dimension ref="B1:V164"/>
  <sheetViews>
    <sheetView tabSelected="1" zoomScaleNormal="100" zoomScaleSheetLayoutView="115" workbookViewId="0">
      <selection activeCell="K11" sqref="K11"/>
    </sheetView>
  </sheetViews>
  <sheetFormatPr baseColWidth="10" defaultColWidth="9.1640625" defaultRowHeight="13" x14ac:dyDescent="0.15"/>
  <cols>
    <col min="1" max="1" width="2.5" style="2" customWidth="1"/>
    <col min="2" max="2" width="14.6640625" style="2" bestFit="1" customWidth="1"/>
    <col min="3" max="3" width="13.5" style="2" bestFit="1" customWidth="1"/>
    <col min="4" max="4" width="31.33203125" style="2" bestFit="1" customWidth="1"/>
    <col min="5" max="5" width="8" style="2" customWidth="1"/>
    <col min="6" max="6" width="12.33203125" style="2" customWidth="1"/>
    <col min="7" max="7" width="12" style="2" bestFit="1" customWidth="1"/>
    <col min="8" max="8" width="26.33203125" style="23" customWidth="1"/>
    <col min="9" max="9" width="22.83203125" style="23" customWidth="1"/>
    <col min="10" max="11" width="13.5" style="2" bestFit="1" customWidth="1"/>
    <col min="12" max="12" width="43.5" style="2" customWidth="1"/>
    <col min="13" max="13" width="11.5" style="2" bestFit="1" customWidth="1"/>
    <col min="14" max="14" width="31.5" style="2" bestFit="1" customWidth="1"/>
    <col min="15" max="15" width="23.6640625" style="2" bestFit="1" customWidth="1"/>
    <col min="16" max="16" width="9.1640625" style="2"/>
    <col min="17" max="17" width="45" style="2" customWidth="1"/>
    <col min="18" max="16384" width="9.1640625" style="2"/>
  </cols>
  <sheetData>
    <row r="1" spans="2:22" ht="14" thickBot="1" x14ac:dyDescent="0.2">
      <c r="B1" s="1"/>
      <c r="J1" s="23"/>
      <c r="K1" s="23"/>
      <c r="L1" s="23"/>
      <c r="M1" s="23"/>
      <c r="N1" s="23"/>
      <c r="O1" s="23"/>
      <c r="P1" s="23"/>
      <c r="Q1" s="23"/>
      <c r="R1" s="23"/>
    </row>
    <row r="2" spans="2:22" ht="18" x14ac:dyDescent="0.15">
      <c r="B2" s="3" t="s">
        <v>7</v>
      </c>
      <c r="C2" s="4"/>
      <c r="D2" s="5"/>
      <c r="E2" s="6"/>
      <c r="H2" s="27" t="s">
        <v>8</v>
      </c>
      <c r="I2" s="28">
        <f>SUM(Table132[Client Cost Sub Total '[NZD']])</f>
        <v>0</v>
      </c>
      <c r="J2" s="36" t="s">
        <v>9</v>
      </c>
      <c r="K2" s="36" t="s">
        <v>32</v>
      </c>
      <c r="L2" s="37"/>
      <c r="M2" s="23"/>
      <c r="N2" s="23"/>
      <c r="O2" s="23"/>
      <c r="P2" s="23"/>
      <c r="Q2" s="23"/>
      <c r="R2" s="23"/>
    </row>
    <row r="3" spans="2:22" x14ac:dyDescent="0.15">
      <c r="B3" s="7" t="s">
        <v>10</v>
      </c>
      <c r="C3" s="66"/>
      <c r="D3" s="67"/>
      <c r="E3" s="8"/>
      <c r="F3" s="8"/>
      <c r="H3" s="29" t="s">
        <v>11</v>
      </c>
      <c r="I3" s="30"/>
      <c r="J3" s="23" t="s">
        <v>9</v>
      </c>
      <c r="K3" s="38" t="s">
        <v>33</v>
      </c>
      <c r="L3" s="39"/>
      <c r="M3" s="23"/>
      <c r="N3" s="40" t="s">
        <v>12</v>
      </c>
      <c r="O3" s="40" t="s">
        <v>13</v>
      </c>
      <c r="P3" s="23"/>
      <c r="Q3" s="41" t="s">
        <v>14</v>
      </c>
      <c r="R3" s="42">
        <v>0.15</v>
      </c>
    </row>
    <row r="4" spans="2:22" ht="14" thickBot="1" x14ac:dyDescent="0.2">
      <c r="B4" s="7" t="s">
        <v>15</v>
      </c>
      <c r="C4" s="68"/>
      <c r="D4" s="69"/>
      <c r="H4" s="31" t="s">
        <v>16</v>
      </c>
      <c r="I4" s="32">
        <f>I3-I2</f>
        <v>0</v>
      </c>
      <c r="J4" s="43" t="s">
        <v>9</v>
      </c>
      <c r="K4" s="43"/>
      <c r="L4" s="44"/>
      <c r="M4" s="23"/>
      <c r="N4" s="45" t="s">
        <v>9</v>
      </c>
      <c r="O4" s="46">
        <v>1</v>
      </c>
      <c r="P4" s="23"/>
      <c r="Q4" s="23"/>
      <c r="R4" s="23"/>
    </row>
    <row r="5" spans="2:22" ht="16" thickBot="1" x14ac:dyDescent="0.25">
      <c r="B5" s="9" t="s">
        <v>17</v>
      </c>
      <c r="C5" s="70"/>
      <c r="D5" s="71"/>
      <c r="H5" s="33" t="s">
        <v>18</v>
      </c>
      <c r="I5" s="33"/>
      <c r="J5" s="23"/>
      <c r="K5" s="23"/>
      <c r="L5" s="23"/>
      <c r="M5" s="23"/>
      <c r="N5" s="47" t="s">
        <v>19</v>
      </c>
      <c r="O5" s="48">
        <f>nzd[[#This Row],[Column10]]</f>
        <v>0</v>
      </c>
      <c r="P5" s="23"/>
      <c r="Q5" s="49" t="s">
        <v>20</v>
      </c>
      <c r="R5" s="23"/>
    </row>
    <row r="6" spans="2:22" ht="14" thickBot="1" x14ac:dyDescent="0.2">
      <c r="H6" s="34" t="s">
        <v>31</v>
      </c>
      <c r="I6" s="35">
        <f>SUM(Table132[Order Sub Total '[NZD']])</f>
        <v>0</v>
      </c>
      <c r="J6" s="23"/>
      <c r="K6" s="23"/>
      <c r="L6" s="23"/>
      <c r="M6" s="23"/>
      <c r="N6" s="50" t="s">
        <v>21</v>
      </c>
      <c r="O6" s="51">
        <f>'Currency Exchange'!J2</f>
        <v>0</v>
      </c>
      <c r="P6" s="23"/>
      <c r="Q6" s="55" t="s">
        <v>34</v>
      </c>
      <c r="R6" s="23"/>
    </row>
    <row r="7" spans="2:22" ht="18" x14ac:dyDescent="0.15">
      <c r="B7" s="3" t="s">
        <v>22</v>
      </c>
      <c r="C7" s="4"/>
      <c r="D7" s="5"/>
      <c r="J7" s="23"/>
      <c r="K7" s="23"/>
      <c r="L7" s="23"/>
      <c r="M7" s="23"/>
      <c r="N7" s="47" t="s">
        <v>23</v>
      </c>
      <c r="O7" s="48">
        <f>'Currency Exchange'!J4</f>
        <v>0</v>
      </c>
      <c r="P7" s="23"/>
      <c r="Q7" s="56" t="s">
        <v>35</v>
      </c>
      <c r="R7" s="23"/>
    </row>
    <row r="8" spans="2:22" x14ac:dyDescent="0.15">
      <c r="B8" s="10"/>
      <c r="C8" s="11"/>
      <c r="D8" s="12"/>
      <c r="J8" s="23"/>
      <c r="K8" s="23"/>
      <c r="L8" s="23"/>
      <c r="M8" s="23"/>
      <c r="N8" s="50" t="s">
        <v>24</v>
      </c>
      <c r="O8" s="51">
        <f>'Currency Exchange'!J3</f>
        <v>0</v>
      </c>
      <c r="P8" s="23"/>
      <c r="Q8" s="57" t="s">
        <v>2</v>
      </c>
      <c r="R8" s="23"/>
    </row>
    <row r="9" spans="2:22" x14ac:dyDescent="0.15">
      <c r="J9" s="23"/>
      <c r="K9" s="23"/>
      <c r="L9" s="23"/>
      <c r="M9" s="23"/>
      <c r="N9" s="23"/>
      <c r="O9" s="23"/>
      <c r="P9" s="23"/>
      <c r="Q9" s="58" t="s">
        <v>0</v>
      </c>
      <c r="R9" s="23"/>
    </row>
    <row r="10" spans="2:22" ht="34.5" customHeight="1" thickBot="1" x14ac:dyDescent="0.25">
      <c r="B10" s="13" t="s">
        <v>4</v>
      </c>
      <c r="C10" s="13" t="s">
        <v>3</v>
      </c>
      <c r="D10" s="13" t="s">
        <v>22</v>
      </c>
      <c r="E10" s="13" t="s">
        <v>25</v>
      </c>
      <c r="F10" s="13" t="s">
        <v>26</v>
      </c>
      <c r="G10" s="13" t="s">
        <v>27</v>
      </c>
      <c r="H10" s="13" t="s">
        <v>28</v>
      </c>
      <c r="I10" s="13" t="s">
        <v>29</v>
      </c>
      <c r="J10" s="52" t="s">
        <v>5</v>
      </c>
      <c r="K10" s="52" t="s">
        <v>30</v>
      </c>
      <c r="L10" s="52" t="s">
        <v>6</v>
      </c>
      <c r="M10" s="53"/>
      <c r="N10" s="23"/>
      <c r="O10" s="23"/>
      <c r="P10" s="23"/>
      <c r="Q10" s="59" t="s">
        <v>1</v>
      </c>
      <c r="R10" s="23"/>
      <c r="S10" s="23"/>
      <c r="T10" s="23"/>
      <c r="U10" s="23"/>
      <c r="V10" s="23"/>
    </row>
    <row r="11" spans="2:22" x14ac:dyDescent="0.15">
      <c r="B11" s="18"/>
      <c r="C11" s="18"/>
      <c r="D11" s="19"/>
      <c r="E11" s="20"/>
      <c r="F11" s="21"/>
      <c r="G11" s="21"/>
      <c r="H11" s="16" t="str">
        <f>IF(ISBLANK(Table132[[#This Row],[Unit Cost (ex GST)]]),"",IF(ISBLANK(Table132[[#This Row],[Currency]]),"Select Currency",(Table132[[#This Row],[Order Qty]]*Table132[[#This Row],[Unit Cost (ex GST)]])*VLOOKUP(G11,Table35[#All],2,FALSE)))</f>
        <v/>
      </c>
      <c r="I11" s="17" t="str">
        <f>IF(N(Table132[[#This Row],[Order Sub Total '[NZD']]]),Table132[[#This Row],[Order Sub Total '[NZD']]]+(Table132[[#This Row],[Order Sub Total '[NZD']]]*$R$3),"")</f>
        <v/>
      </c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</row>
    <row r="12" spans="2:22" x14ac:dyDescent="0.15">
      <c r="B12" s="18"/>
      <c r="C12" s="18"/>
      <c r="D12" s="19"/>
      <c r="E12" s="20"/>
      <c r="F12" s="21"/>
      <c r="G12" s="21"/>
      <c r="H12" s="16" t="str">
        <f>IF(ISBLANK(Table132[[#This Row],[Unit Cost (ex GST)]]),"",IF(ISBLANK(Table132[[#This Row],[Currency]]),"Select Currency",(Table132[[#This Row],[Order Qty]]*Table132[[#This Row],[Unit Cost (ex GST)]])*VLOOKUP(G12,Table35[#All],2,FALSE)))</f>
        <v/>
      </c>
      <c r="I12" s="17" t="str">
        <f>IF(N(Table132[[#This Row],[Order Sub Total '[NZD']]]),Table132[[#This Row],[Order Sub Total '[NZD']]]+(Table132[[#This Row],[Order Sub Total '[NZD']]]*$R$3),"")</f>
        <v/>
      </c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</row>
    <row r="13" spans="2:22" x14ac:dyDescent="0.15">
      <c r="B13" s="18"/>
      <c r="C13" s="18"/>
      <c r="D13" s="19"/>
      <c r="E13" s="20"/>
      <c r="F13" s="21"/>
      <c r="G13" s="21"/>
      <c r="H13" s="16" t="str">
        <f>IF(ISBLANK(Table132[[#This Row],[Unit Cost (ex GST)]]),"",IF(ISBLANK(Table132[[#This Row],[Currency]]),"Select Currency",(Table132[[#This Row],[Order Qty]]*Table132[[#This Row],[Unit Cost (ex GST)]])*VLOOKUP(G13,Table35[#All],2,FALSE)))</f>
        <v/>
      </c>
      <c r="I13" s="17" t="str">
        <f>IF(N(Table132[[#This Row],[Order Sub Total '[NZD']]]),Table132[[#This Row],[Order Sub Total '[NZD']]]+(Table132[[#This Row],[Order Sub Total '[NZD']]]*$R$3),"")</f>
        <v/>
      </c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</row>
    <row r="14" spans="2:22" x14ac:dyDescent="0.15">
      <c r="B14" s="20"/>
      <c r="C14" s="18"/>
      <c r="D14" s="19"/>
      <c r="E14" s="20"/>
      <c r="F14" s="21"/>
      <c r="G14" s="21"/>
      <c r="H14" s="16" t="str">
        <f>IF(ISBLANK(Table132[[#This Row],[Unit Cost (ex GST)]]),"",IF(ISBLANK(Table132[[#This Row],[Currency]]),"Select Currency",(Table132[[#This Row],[Order Qty]]*Table132[[#This Row],[Unit Cost (ex GST)]])*VLOOKUP(G14,Table35[#All],2,FALSE)))</f>
        <v/>
      </c>
      <c r="I14" s="17" t="str">
        <f>IF(N(Table132[[#This Row],[Order Sub Total '[NZD']]]),Table132[[#This Row],[Order Sub Total '[NZD']]]+(Table132[[#This Row],[Order Sub Total '[NZD']]]*$R$3),"")</f>
        <v/>
      </c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</row>
    <row r="15" spans="2:22" x14ac:dyDescent="0.15">
      <c r="B15" s="20"/>
      <c r="C15" s="18"/>
      <c r="D15" s="19"/>
      <c r="E15" s="20"/>
      <c r="F15" s="21"/>
      <c r="G15" s="21"/>
      <c r="H15" s="16" t="str">
        <f>IF(ISBLANK(Table132[[#This Row],[Unit Cost (ex GST)]]),"",IF(ISBLANK(Table132[[#This Row],[Currency]]),"Select Currency",(Table132[[#This Row],[Order Qty]]*Table132[[#This Row],[Unit Cost (ex GST)]])*VLOOKUP(G15,Table35[#All],2,FALSE)))</f>
        <v/>
      </c>
      <c r="I15" s="17" t="str">
        <f>IF(N(Table132[[#This Row],[Order Sub Total '[NZD']]]),Table132[[#This Row],[Order Sub Total '[NZD']]]+(Table132[[#This Row],[Order Sub Total '[NZD']]]*$R$3),"")</f>
        <v/>
      </c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</row>
    <row r="16" spans="2:22" x14ac:dyDescent="0.15">
      <c r="B16" s="20"/>
      <c r="C16" s="18"/>
      <c r="D16" s="19"/>
      <c r="E16" s="20"/>
      <c r="F16" s="21"/>
      <c r="G16" s="21"/>
      <c r="H16" s="16" t="str">
        <f>IF(ISBLANK(Table132[[#This Row],[Unit Cost (ex GST)]]),"",IF(ISBLANK(Table132[[#This Row],[Currency]]),"Select Currency",(Table132[[#This Row],[Order Qty]]*Table132[[#This Row],[Unit Cost (ex GST)]])*VLOOKUP(G16,Table35[#All],2,FALSE)))</f>
        <v/>
      </c>
      <c r="I16" s="17" t="str">
        <f>IF(N(Table132[[#This Row],[Order Sub Total '[NZD']]]),Table132[[#This Row],[Order Sub Total '[NZD']]]+(Table132[[#This Row],[Order Sub Total '[NZD']]]*$R$3),"")</f>
        <v/>
      </c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</row>
    <row r="17" spans="2:22" x14ac:dyDescent="0.15">
      <c r="B17" s="20"/>
      <c r="C17" s="18"/>
      <c r="D17" s="19"/>
      <c r="E17" s="20"/>
      <c r="F17" s="22"/>
      <c r="G17" s="21"/>
      <c r="H17" s="16" t="str">
        <f>IF(ISBLANK(Table132[[#This Row],[Unit Cost (ex GST)]]),"",IF(ISBLANK(Table132[[#This Row],[Currency]]),"Select Currency",(Table132[[#This Row],[Order Qty]]*Table132[[#This Row],[Unit Cost (ex GST)]])*VLOOKUP(G17,Table35[#All],2,FALSE)))</f>
        <v/>
      </c>
      <c r="I17" s="17" t="str">
        <f>IF(N(Table132[[#This Row],[Order Sub Total '[NZD']]]),Table132[[#This Row],[Order Sub Total '[NZD']]]+(Table132[[#This Row],[Order Sub Total '[NZD']]]*$R$3),"")</f>
        <v/>
      </c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</row>
    <row r="18" spans="2:22" x14ac:dyDescent="0.15">
      <c r="B18" s="20"/>
      <c r="C18" s="18"/>
      <c r="D18" s="19"/>
      <c r="E18" s="20"/>
      <c r="F18" s="21"/>
      <c r="G18" s="21"/>
      <c r="H18" s="16" t="str">
        <f>IF(ISBLANK(Table132[[#This Row],[Unit Cost (ex GST)]]),"",IF(ISBLANK(Table132[[#This Row],[Currency]]),"Select Currency",(Table132[[#This Row],[Order Qty]]*Table132[[#This Row],[Unit Cost (ex GST)]])*VLOOKUP(G18,Table35[#All],2,FALSE)))</f>
        <v/>
      </c>
      <c r="I18" s="17" t="str">
        <f>IF(N(Table132[[#This Row],[Order Sub Total '[NZD']]]),Table132[[#This Row],[Order Sub Total '[NZD']]]+(Table132[[#This Row],[Order Sub Total '[NZD']]]*$R$3),"")</f>
        <v/>
      </c>
      <c r="J18" s="23"/>
      <c r="K18" s="23"/>
      <c r="L18" s="23"/>
      <c r="M18" s="23"/>
      <c r="N18" s="54"/>
      <c r="O18" s="23"/>
      <c r="P18" s="23"/>
      <c r="Q18" s="23"/>
      <c r="R18" s="23"/>
      <c r="S18" s="23"/>
      <c r="T18" s="23"/>
      <c r="U18" s="23"/>
      <c r="V18" s="23"/>
    </row>
    <row r="19" spans="2:22" x14ac:dyDescent="0.15">
      <c r="B19" s="20"/>
      <c r="C19" s="18"/>
      <c r="D19" s="19"/>
      <c r="E19" s="20"/>
      <c r="F19" s="21"/>
      <c r="G19" s="21"/>
      <c r="H19" s="16" t="str">
        <f>IF(ISBLANK(Table132[[#This Row],[Unit Cost (ex GST)]]),"",IF(ISBLANK(Table132[[#This Row],[Currency]]),"Select Currency",(Table132[[#This Row],[Order Qty]]*Table132[[#This Row],[Unit Cost (ex GST)]])*VLOOKUP(G19,Table35[#All],2,FALSE)))</f>
        <v/>
      </c>
      <c r="I19" s="17" t="str">
        <f>IF(N(Table132[[#This Row],[Order Sub Total '[NZD']]]),Table132[[#This Row],[Order Sub Total '[NZD']]]+(Table132[[#This Row],[Order Sub Total '[NZD']]]*$R$3),"")</f>
        <v/>
      </c>
      <c r="J19" s="23"/>
      <c r="K19" s="23"/>
      <c r="L19" s="23"/>
      <c r="M19" s="23"/>
      <c r="N19" s="54"/>
      <c r="O19" s="23"/>
      <c r="P19" s="23"/>
      <c r="Q19" s="23"/>
      <c r="R19" s="23"/>
      <c r="S19" s="23"/>
      <c r="T19" s="23"/>
      <c r="U19" s="23"/>
      <c r="V19" s="23"/>
    </row>
    <row r="20" spans="2:22" x14ac:dyDescent="0.15">
      <c r="B20" s="18"/>
      <c r="C20" s="18"/>
      <c r="D20" s="23"/>
      <c r="E20" s="20"/>
      <c r="F20" s="24"/>
      <c r="G20" s="21"/>
      <c r="H20" s="16" t="str">
        <f>IF(ISBLANK(Table132[[#This Row],[Unit Cost (ex GST)]]),"",IF(ISBLANK(Table132[[#This Row],[Currency]]),"Select Currency",(Table132[[#This Row],[Order Qty]]*Table132[[#This Row],[Unit Cost (ex GST)]])*VLOOKUP(G20,Table35[#All],2,FALSE)))</f>
        <v/>
      </c>
      <c r="I20" s="17" t="str">
        <f>IF(N(Table132[[#This Row],[Order Sub Total '[NZD']]]),Table132[[#This Row],[Order Sub Total '[NZD']]]+(Table132[[#This Row],[Order Sub Total '[NZD']]]*$R$3),"")</f>
        <v/>
      </c>
      <c r="J20" s="23"/>
      <c r="K20" s="23"/>
      <c r="L20" s="23"/>
      <c r="M20" s="23"/>
      <c r="N20" s="54"/>
      <c r="O20" s="23"/>
      <c r="P20" s="23"/>
      <c r="Q20" s="23"/>
      <c r="R20" s="23"/>
      <c r="S20" s="23"/>
      <c r="T20" s="23"/>
      <c r="U20" s="23"/>
      <c r="V20" s="23"/>
    </row>
    <row r="21" spans="2:22" x14ac:dyDescent="0.15">
      <c r="B21" s="18"/>
      <c r="C21" s="18"/>
      <c r="D21" s="23"/>
      <c r="E21" s="20"/>
      <c r="F21" s="24"/>
      <c r="G21" s="21"/>
      <c r="H21" s="16" t="str">
        <f>IF(ISBLANK(Table132[[#This Row],[Unit Cost (ex GST)]]),"",IF(ISBLANK(Table132[[#This Row],[Currency]]),"Select Currency",(Table132[[#This Row],[Order Qty]]*Table132[[#This Row],[Unit Cost (ex GST)]])*VLOOKUP(G21,Table35[#All],2,FALSE)))</f>
        <v/>
      </c>
      <c r="I21" s="17" t="str">
        <f>IF(N(Table132[[#This Row],[Order Sub Total '[NZD']]]),Table132[[#This Row],[Order Sub Total '[NZD']]]+(Table132[[#This Row],[Order Sub Total '[NZD']]]*$R$3),"")</f>
        <v/>
      </c>
      <c r="J21" s="25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</row>
    <row r="22" spans="2:22" x14ac:dyDescent="0.15">
      <c r="B22" s="18"/>
      <c r="C22" s="18"/>
      <c r="D22" s="23"/>
      <c r="E22" s="20"/>
      <c r="F22" s="24"/>
      <c r="G22" s="21"/>
      <c r="H22" s="16" t="str">
        <f>IF(ISBLANK(Table132[[#This Row],[Unit Cost (ex GST)]]),"",IF(ISBLANK(Table132[[#This Row],[Currency]]),"Select Currency",(Table132[[#This Row],[Order Qty]]*Table132[[#This Row],[Unit Cost (ex GST)]])*VLOOKUP(G22,Table35[#All],2,FALSE)))</f>
        <v/>
      </c>
      <c r="I22" s="17" t="str">
        <f>IF(N(Table132[[#This Row],[Order Sub Total '[NZD']]]),Table132[[#This Row],[Order Sub Total '[NZD']]]+(Table132[[#This Row],[Order Sub Total '[NZD']]]*$R$3),"")</f>
        <v/>
      </c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</row>
    <row r="23" spans="2:22" x14ac:dyDescent="0.15">
      <c r="B23" s="18"/>
      <c r="C23" s="18"/>
      <c r="D23" s="23"/>
      <c r="E23" s="20"/>
      <c r="F23" s="21"/>
      <c r="G23" s="21"/>
      <c r="H23" s="16" t="str">
        <f>IF(ISBLANK(Table132[[#This Row],[Unit Cost (ex GST)]]),"",IF(ISBLANK(Table132[[#This Row],[Currency]]),"Select Currency",(Table132[[#This Row],[Order Qty]]*Table132[[#This Row],[Unit Cost (ex GST)]])*VLOOKUP(G23,Table35[#All],2,FALSE)))</f>
        <v/>
      </c>
      <c r="I23" s="17" t="str">
        <f>IF(N(Table132[[#This Row],[Order Sub Total '[NZD']]]),Table132[[#This Row],[Order Sub Total '[NZD']]]+(Table132[[#This Row],[Order Sub Total '[NZD']]]*$R$3),"")</f>
        <v/>
      </c>
      <c r="J23" s="23"/>
      <c r="K23" s="23"/>
      <c r="L23" s="26"/>
      <c r="M23" s="23"/>
      <c r="N23" s="23"/>
      <c r="O23" s="23"/>
      <c r="P23" s="23"/>
      <c r="Q23" s="23"/>
      <c r="R23" s="23"/>
      <c r="S23" s="23"/>
      <c r="T23" s="23"/>
      <c r="U23" s="23"/>
      <c r="V23" s="23"/>
    </row>
    <row r="24" spans="2:22" x14ac:dyDescent="0.15">
      <c r="B24" s="18"/>
      <c r="C24" s="18"/>
      <c r="D24" s="23"/>
      <c r="E24" s="20"/>
      <c r="F24" s="21"/>
      <c r="G24" s="21"/>
      <c r="H24" s="16" t="str">
        <f>IF(ISBLANK(Table132[[#This Row],[Unit Cost (ex GST)]]),"",IF(ISBLANK(Table132[[#This Row],[Currency]]),"Select Currency",(Table132[[#This Row],[Order Qty]]*Table132[[#This Row],[Unit Cost (ex GST)]])*VLOOKUP(G24,Table35[#All],2,FALSE)))</f>
        <v/>
      </c>
      <c r="I24" s="17" t="str">
        <f>IF(N(Table132[[#This Row],[Order Sub Total '[NZD']]]),Table132[[#This Row],[Order Sub Total '[NZD']]]+(Table132[[#This Row],[Order Sub Total '[NZD']]]*$R$3),"")</f>
        <v/>
      </c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</row>
    <row r="25" spans="2:22" x14ac:dyDescent="0.15">
      <c r="B25" s="20"/>
      <c r="C25" s="18"/>
      <c r="D25" s="23"/>
      <c r="E25" s="20"/>
      <c r="F25" s="21"/>
      <c r="G25" s="21"/>
      <c r="H25" s="16"/>
      <c r="I25" s="17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</row>
    <row r="26" spans="2:22" x14ac:dyDescent="0.15">
      <c r="B26" s="20"/>
      <c r="C26" s="20"/>
      <c r="D26" s="23"/>
      <c r="E26" s="20"/>
      <c r="F26" s="21"/>
      <c r="G26" s="21"/>
      <c r="H26" s="16"/>
      <c r="I26" s="17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</row>
    <row r="27" spans="2:22" x14ac:dyDescent="0.15">
      <c r="B27" s="20"/>
      <c r="C27" s="20"/>
      <c r="D27" s="23"/>
      <c r="E27" s="20"/>
      <c r="F27" s="21"/>
      <c r="G27" s="21"/>
      <c r="H27" s="16" t="str">
        <f>IF(ISBLANK(Table132[[#This Row],[Unit Cost (ex GST)]]),"",IF(ISBLANK(Table132[[#This Row],[Currency]]),"Select Currency",(Table132[[#This Row],[Order Qty]]*Table132[[#This Row],[Unit Cost (ex GST)]])*VLOOKUP(G27,Table35[#All],2,FALSE)))</f>
        <v/>
      </c>
      <c r="I27" s="17" t="str">
        <f>IF(N(Table132[[#This Row],[Order Sub Total '[NZD']]]),Table132[[#This Row],[Order Sub Total '[NZD']]]+(Table132[[#This Row],[Order Sub Total '[NZD']]]*$R$3),"")</f>
        <v/>
      </c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</row>
    <row r="28" spans="2:22" x14ac:dyDescent="0.15">
      <c r="B28" s="20"/>
      <c r="C28" s="20"/>
      <c r="D28" s="23"/>
      <c r="E28" s="20"/>
      <c r="F28" s="21"/>
      <c r="G28" s="21"/>
      <c r="H28" s="16" t="str">
        <f>IF(ISBLANK(Table132[[#This Row],[Unit Cost (ex GST)]]),"",IF(ISBLANK(Table132[[#This Row],[Currency]]),"Select Currency",(Table132[[#This Row],[Order Qty]]*Table132[[#This Row],[Unit Cost (ex GST)]])*VLOOKUP(G28,Table35[#All],2,FALSE)))</f>
        <v/>
      </c>
      <c r="I28" s="17" t="str">
        <f>IF(N(Table132[[#This Row],[Order Sub Total '[NZD']]]),Table132[[#This Row],[Order Sub Total '[NZD']]]+(Table132[[#This Row],[Order Sub Total '[NZD']]]*$R$3),"")</f>
        <v/>
      </c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</row>
    <row r="29" spans="2:22" x14ac:dyDescent="0.15">
      <c r="B29" s="20"/>
      <c r="C29" s="20"/>
      <c r="D29" s="23"/>
      <c r="E29" s="20"/>
      <c r="F29" s="21"/>
      <c r="G29" s="21"/>
      <c r="H29" s="16" t="str">
        <f>IF(ISBLANK(Table132[[#This Row],[Unit Cost (ex GST)]]),"",IF(ISBLANK(Table132[[#This Row],[Currency]]),"Select Currency",(Table132[[#This Row],[Order Qty]]*Table132[[#This Row],[Unit Cost (ex GST)]])*VLOOKUP(G29,Table35[#All],2,FALSE)))</f>
        <v/>
      </c>
      <c r="I29" s="17" t="str">
        <f>IF(N(Table132[[#This Row],[Order Sub Total '[NZD']]]),Table132[[#This Row],[Order Sub Total '[NZD']]]+(Table132[[#This Row],[Order Sub Total '[NZD']]]*$R$3),"")</f>
        <v/>
      </c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</row>
    <row r="30" spans="2:22" x14ac:dyDescent="0.15">
      <c r="B30" s="20"/>
      <c r="C30" s="20"/>
      <c r="D30" s="23"/>
      <c r="E30" s="20"/>
      <c r="F30" s="21"/>
      <c r="G30" s="21"/>
      <c r="H30" s="16" t="str">
        <f>IF(ISBLANK(Table132[[#This Row],[Unit Cost (ex GST)]]),"",IF(ISBLANK(Table132[[#This Row],[Currency]]),"Select Currency",(Table132[[#This Row],[Order Qty]]*Table132[[#This Row],[Unit Cost (ex GST)]])*VLOOKUP(G30,Table35[#All],2,FALSE)))</f>
        <v/>
      </c>
      <c r="I30" s="17" t="str">
        <f>IF(N(Table132[[#This Row],[Order Sub Total '[NZD']]]),Table132[[#This Row],[Order Sub Total '[NZD']]]+(Table132[[#This Row],[Order Sub Total '[NZD']]]*$R$3),"")</f>
        <v/>
      </c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</row>
    <row r="31" spans="2:22" x14ac:dyDescent="0.15">
      <c r="B31" s="20"/>
      <c r="C31" s="20"/>
      <c r="D31" s="23"/>
      <c r="E31" s="20"/>
      <c r="F31" s="21"/>
      <c r="G31" s="21"/>
      <c r="H31" s="16" t="str">
        <f>IF(ISBLANK(Table132[[#This Row],[Unit Cost (ex GST)]]),"",IF(ISBLANK(Table132[[#This Row],[Currency]]),"Select Currency",(Table132[[#This Row],[Order Qty]]*Table132[[#This Row],[Unit Cost (ex GST)]])*VLOOKUP(G31,Table35[#All],2,FALSE)))</f>
        <v/>
      </c>
      <c r="I31" s="17" t="str">
        <f>IF(N(Table132[[#This Row],[Order Sub Total '[NZD']]]),Table132[[#This Row],[Order Sub Total '[NZD']]]+(Table132[[#This Row],[Order Sub Total '[NZD']]]*$R$3),"")</f>
        <v/>
      </c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</row>
    <row r="32" spans="2:22" x14ac:dyDescent="0.15">
      <c r="B32" s="20"/>
      <c r="C32" s="20"/>
      <c r="D32" s="23"/>
      <c r="E32" s="20"/>
      <c r="F32" s="21"/>
      <c r="G32" s="21"/>
      <c r="H32" s="16" t="str">
        <f>IF(ISBLANK(Table132[[#This Row],[Unit Cost (ex GST)]]),"",IF(ISBLANK(Table132[[#This Row],[Currency]]),"Select Currency",(Table132[[#This Row],[Order Qty]]*Table132[[#This Row],[Unit Cost (ex GST)]])*VLOOKUP(G32,Table35[#All],2,FALSE)))</f>
        <v/>
      </c>
      <c r="I32" s="17" t="str">
        <f>IF(N(Table132[[#This Row],[Order Sub Total '[NZD']]]),Table132[[#This Row],[Order Sub Total '[NZD']]]+(Table132[[#This Row],[Order Sub Total '[NZD']]]*$R$3),"")</f>
        <v/>
      </c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</row>
    <row r="33" spans="2:22" x14ac:dyDescent="0.15">
      <c r="B33" s="20"/>
      <c r="C33" s="20"/>
      <c r="D33" s="23"/>
      <c r="E33" s="20"/>
      <c r="F33" s="21"/>
      <c r="G33" s="21"/>
      <c r="H33" s="16" t="str">
        <f>IF(ISBLANK(Table132[[#This Row],[Unit Cost (ex GST)]]),"",IF(ISBLANK(Table132[[#This Row],[Currency]]),"Select Currency",(Table132[[#This Row],[Order Qty]]*Table132[[#This Row],[Unit Cost (ex GST)]])*VLOOKUP(G33,Table35[#All],2,FALSE)))</f>
        <v/>
      </c>
      <c r="I33" s="17" t="str">
        <f>IF(N(Table132[[#This Row],[Order Sub Total '[NZD']]]),Table132[[#This Row],[Order Sub Total '[NZD']]]+(Table132[[#This Row],[Order Sub Total '[NZD']]]*$R$3),"")</f>
        <v/>
      </c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</row>
    <row r="34" spans="2:22" x14ac:dyDescent="0.15">
      <c r="B34" s="20"/>
      <c r="C34" s="20"/>
      <c r="D34" s="23"/>
      <c r="E34" s="20"/>
      <c r="F34" s="21"/>
      <c r="G34" s="21"/>
      <c r="H34" s="16" t="str">
        <f>IF(ISBLANK(Table132[[#This Row],[Unit Cost (ex GST)]]),"",IF(ISBLANK(Table132[[#This Row],[Currency]]),"Select Currency",(Table132[[#This Row],[Order Qty]]*Table132[[#This Row],[Unit Cost (ex GST)]])*VLOOKUP(G34,Table35[#All],2,FALSE)))</f>
        <v/>
      </c>
      <c r="I34" s="17" t="str">
        <f>IF(N(Table132[[#This Row],[Order Sub Total '[NZD']]]),Table132[[#This Row],[Order Sub Total '[NZD']]]+(Table132[[#This Row],[Order Sub Total '[NZD']]]*$R$3),"")</f>
        <v/>
      </c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</row>
    <row r="35" spans="2:22" x14ac:dyDescent="0.15">
      <c r="B35" s="60"/>
      <c r="C35" s="60"/>
      <c r="D35" s="61"/>
      <c r="E35" s="60"/>
      <c r="F35" s="62"/>
      <c r="G35" s="62"/>
      <c r="H35" s="63" t="str">
        <f>IF(ISBLANK(Table132[[#This Row],[Unit Cost (ex GST)]]),"",IF(ISBLANK(Table132[[#This Row],[Currency]]),"Select Currency",(Table132[[#This Row],[Order Qty]]*Table132[[#This Row],[Unit Cost (ex GST)]])*VLOOKUP(G35,Table35[#All],2,FALSE)))</f>
        <v/>
      </c>
      <c r="I35" s="64" t="str">
        <f>IF(N(Table132[[#This Row],[Order Sub Total '[NZD']]]),Table132[[#This Row],[Order Sub Total '[NZD']]]+(Table132[[#This Row],[Order Sub Total '[NZD']]]*$R$3),"")</f>
        <v/>
      </c>
      <c r="J35" s="65"/>
      <c r="K35" s="65"/>
      <c r="L35" s="65"/>
      <c r="M35" s="23"/>
      <c r="N35" s="23"/>
      <c r="O35" s="23"/>
      <c r="P35" s="23"/>
      <c r="Q35" s="23"/>
      <c r="R35" s="23"/>
      <c r="S35" s="23"/>
      <c r="T35" s="23"/>
      <c r="U35" s="23"/>
      <c r="V35" s="23"/>
    </row>
    <row r="36" spans="2:22" x14ac:dyDescent="0.15">
      <c r="B36" s="60"/>
      <c r="C36" s="60"/>
      <c r="D36" s="61"/>
      <c r="E36" s="60"/>
      <c r="F36" s="62"/>
      <c r="G36" s="62"/>
      <c r="H36" s="63" t="str">
        <f>IF(ISBLANK(Table132[[#This Row],[Unit Cost (ex GST)]]),"",IF(ISBLANK(Table132[[#This Row],[Currency]]),"Select Currency",(Table132[[#This Row],[Order Qty]]*Table132[[#This Row],[Unit Cost (ex GST)]])*VLOOKUP(G36,Table35[#All],2,FALSE)))</f>
        <v/>
      </c>
      <c r="I36" s="64" t="str">
        <f>IF(N(Table132[[#This Row],[Order Sub Total '[NZD']]]),Table132[[#This Row],[Order Sub Total '[NZD']]]+(Table132[[#This Row],[Order Sub Total '[NZD']]]*$R$3),"")</f>
        <v/>
      </c>
      <c r="J36" s="65"/>
      <c r="K36" s="65"/>
      <c r="L36" s="65"/>
      <c r="M36" s="23"/>
      <c r="N36" s="23"/>
      <c r="O36" s="23"/>
      <c r="P36" s="23"/>
      <c r="Q36" s="23"/>
      <c r="R36" s="23"/>
      <c r="S36" s="23"/>
      <c r="T36" s="23"/>
      <c r="U36" s="23"/>
      <c r="V36" s="23"/>
    </row>
    <row r="37" spans="2:22" x14ac:dyDescent="0.15">
      <c r="B37" s="60"/>
      <c r="C37" s="60"/>
      <c r="D37" s="61"/>
      <c r="E37" s="60"/>
      <c r="F37" s="62"/>
      <c r="G37" s="62"/>
      <c r="H37" s="63" t="str">
        <f>IF(ISBLANK(Table132[[#This Row],[Unit Cost (ex GST)]]),"",IF(ISBLANK(Table132[[#This Row],[Currency]]),"Select Currency",(Table132[[#This Row],[Order Qty]]*Table132[[#This Row],[Unit Cost (ex GST)]])*VLOOKUP(G37,Table35[#All],2,FALSE)))</f>
        <v/>
      </c>
      <c r="I37" s="64" t="str">
        <f>IF(N(Table132[[#This Row],[Order Sub Total '[NZD']]]),Table132[[#This Row],[Order Sub Total '[NZD']]]+(Table132[[#This Row],[Order Sub Total '[NZD']]]*$R$3),"")</f>
        <v/>
      </c>
      <c r="J37" s="65"/>
      <c r="K37" s="65"/>
      <c r="L37" s="65"/>
      <c r="M37" s="23"/>
      <c r="N37" s="23"/>
      <c r="O37" s="23"/>
      <c r="P37" s="23"/>
      <c r="Q37" s="23"/>
      <c r="R37" s="23"/>
      <c r="S37" s="23"/>
      <c r="T37" s="23"/>
      <c r="U37" s="23"/>
      <c r="V37" s="23"/>
    </row>
    <row r="38" spans="2:22" x14ac:dyDescent="0.15">
      <c r="B38" s="60"/>
      <c r="C38" s="60"/>
      <c r="D38" s="61"/>
      <c r="E38" s="60"/>
      <c r="F38" s="62"/>
      <c r="G38" s="62"/>
      <c r="H38" s="63" t="str">
        <f>IF(ISBLANK(Table132[[#This Row],[Unit Cost (ex GST)]]),"",IF(ISBLANK(Table132[[#This Row],[Currency]]),"Select Currency",(Table132[[#This Row],[Order Qty]]*Table132[[#This Row],[Unit Cost (ex GST)]])*VLOOKUP(G38,Table35[#All],2,FALSE)))</f>
        <v/>
      </c>
      <c r="I38" s="64" t="str">
        <f>IF(N(Table132[[#This Row],[Order Sub Total '[NZD']]]),Table132[[#This Row],[Order Sub Total '[NZD']]]+(Table132[[#This Row],[Order Sub Total '[NZD']]]*$R$3),"")</f>
        <v/>
      </c>
      <c r="J38" s="65"/>
      <c r="K38" s="65"/>
      <c r="L38" s="65"/>
      <c r="M38" s="23"/>
      <c r="N38" s="23"/>
      <c r="O38" s="23"/>
      <c r="P38" s="23"/>
      <c r="Q38" s="23"/>
      <c r="R38" s="23"/>
      <c r="S38" s="23"/>
      <c r="T38" s="23"/>
      <c r="U38" s="23"/>
      <c r="V38" s="23"/>
    </row>
    <row r="39" spans="2:22" x14ac:dyDescent="0.15">
      <c r="B39" s="60"/>
      <c r="C39" s="60"/>
      <c r="D39" s="61"/>
      <c r="E39" s="60"/>
      <c r="F39" s="62"/>
      <c r="G39" s="62"/>
      <c r="H39" s="63" t="str">
        <f>IF(ISBLANK(Table132[[#This Row],[Unit Cost (ex GST)]]),"",IF(ISBLANK(Table132[[#This Row],[Currency]]),"Select Currency",(Table132[[#This Row],[Order Qty]]*Table132[[#This Row],[Unit Cost (ex GST)]])*VLOOKUP(G39,Table35[#All],2,FALSE)))</f>
        <v/>
      </c>
      <c r="I39" s="64" t="str">
        <f>IF(N(Table132[[#This Row],[Order Sub Total '[NZD']]]),Table132[[#This Row],[Order Sub Total '[NZD']]]+(Table132[[#This Row],[Order Sub Total '[NZD']]]*$R$3),"")</f>
        <v/>
      </c>
      <c r="J39" s="65"/>
      <c r="K39" s="65"/>
      <c r="L39" s="65"/>
      <c r="M39" s="23"/>
      <c r="N39" s="23"/>
      <c r="O39" s="23"/>
      <c r="P39" s="23"/>
      <c r="Q39" s="23"/>
      <c r="R39" s="23"/>
      <c r="S39" s="23"/>
      <c r="T39" s="23"/>
      <c r="U39" s="23"/>
      <c r="V39" s="23"/>
    </row>
    <row r="40" spans="2:22" x14ac:dyDescent="0.15">
      <c r="B40" s="60"/>
      <c r="C40" s="60"/>
      <c r="D40" s="61"/>
      <c r="E40" s="60"/>
      <c r="F40" s="62"/>
      <c r="G40" s="62"/>
      <c r="H40" s="63" t="str">
        <f>IF(ISBLANK(Table132[[#This Row],[Unit Cost (ex GST)]]),"",IF(ISBLANK(Table132[[#This Row],[Currency]]),"Select Currency",(Table132[[#This Row],[Order Qty]]*Table132[[#This Row],[Unit Cost (ex GST)]])*VLOOKUP(G40,Table35[#All],2,FALSE)))</f>
        <v/>
      </c>
      <c r="I40" s="64" t="str">
        <f>IF(N(Table132[[#This Row],[Order Sub Total '[NZD']]]),Table132[[#This Row],[Order Sub Total '[NZD']]]+(Table132[[#This Row],[Order Sub Total '[NZD']]]*$R$3),"")</f>
        <v/>
      </c>
      <c r="J40" s="65"/>
      <c r="K40" s="65"/>
      <c r="L40" s="65"/>
      <c r="M40" s="23"/>
      <c r="N40" s="23"/>
      <c r="O40" s="23"/>
      <c r="P40" s="23"/>
      <c r="Q40" s="23"/>
      <c r="R40" s="23"/>
      <c r="S40" s="23"/>
      <c r="T40" s="23"/>
      <c r="U40" s="23"/>
      <c r="V40" s="23"/>
    </row>
    <row r="41" spans="2:22" x14ac:dyDescent="0.15">
      <c r="B41" s="60"/>
      <c r="C41" s="60"/>
      <c r="D41" s="61"/>
      <c r="E41" s="60"/>
      <c r="F41" s="62"/>
      <c r="G41" s="62"/>
      <c r="H41" s="63" t="str">
        <f>IF(ISBLANK(Table132[[#This Row],[Unit Cost (ex GST)]]),"",IF(ISBLANK(Table132[[#This Row],[Currency]]),"Select Currency",(Table132[[#This Row],[Order Qty]]*Table132[[#This Row],[Unit Cost (ex GST)]])*VLOOKUP(G41,Table35[#All],2,FALSE)))</f>
        <v/>
      </c>
      <c r="I41" s="64" t="str">
        <f>IF(N(Table132[[#This Row],[Order Sub Total '[NZD']]]),Table132[[#This Row],[Order Sub Total '[NZD']]]+(Table132[[#This Row],[Order Sub Total '[NZD']]]*$R$3),"")</f>
        <v/>
      </c>
      <c r="J41" s="65"/>
      <c r="K41" s="65"/>
      <c r="L41" s="65"/>
      <c r="M41" s="23"/>
      <c r="N41" s="23"/>
      <c r="O41" s="23"/>
      <c r="P41" s="23"/>
      <c r="Q41" s="23"/>
      <c r="R41" s="23"/>
      <c r="S41" s="23"/>
      <c r="T41" s="23"/>
      <c r="U41" s="23"/>
      <c r="V41" s="23"/>
    </row>
    <row r="42" spans="2:22" x14ac:dyDescent="0.15">
      <c r="B42" s="60"/>
      <c r="C42" s="60"/>
      <c r="D42" s="61"/>
      <c r="E42" s="60"/>
      <c r="F42" s="62"/>
      <c r="G42" s="62"/>
      <c r="H42" s="63" t="str">
        <f>IF(ISBLANK(Table132[[#This Row],[Unit Cost (ex GST)]]),"",IF(ISBLANK(Table132[[#This Row],[Currency]]),"Select Currency",(Table132[[#This Row],[Order Qty]]*Table132[[#This Row],[Unit Cost (ex GST)]])*VLOOKUP(G42,Table35[#All],2,FALSE)))</f>
        <v/>
      </c>
      <c r="I42" s="64" t="str">
        <f>IF(N(Table132[[#This Row],[Order Sub Total '[NZD']]]),Table132[[#This Row],[Order Sub Total '[NZD']]]+(Table132[[#This Row],[Order Sub Total '[NZD']]]*$R$3),"")</f>
        <v/>
      </c>
      <c r="J42" s="65"/>
      <c r="K42" s="65"/>
      <c r="L42" s="65"/>
      <c r="M42" s="23"/>
      <c r="N42" s="23"/>
      <c r="O42" s="23"/>
      <c r="P42" s="23"/>
      <c r="Q42" s="23"/>
      <c r="R42" s="23"/>
      <c r="S42" s="23"/>
      <c r="T42" s="23"/>
      <c r="U42" s="23"/>
      <c r="V42" s="23"/>
    </row>
    <row r="43" spans="2:22" x14ac:dyDescent="0.15">
      <c r="B43" s="60"/>
      <c r="C43" s="60"/>
      <c r="D43" s="61"/>
      <c r="E43" s="60"/>
      <c r="F43" s="62"/>
      <c r="G43" s="62"/>
      <c r="H43" s="63" t="str">
        <f>IF(ISBLANK(Table132[[#This Row],[Unit Cost (ex GST)]]),"",IF(ISBLANK(Table132[[#This Row],[Currency]]),"Select Currency",(Table132[[#This Row],[Order Qty]]*Table132[[#This Row],[Unit Cost (ex GST)]])*VLOOKUP(G43,Table35[#All],2,FALSE)))</f>
        <v/>
      </c>
      <c r="I43" s="64" t="str">
        <f>IF(N(Table132[[#This Row],[Order Sub Total '[NZD']]]),Table132[[#This Row],[Order Sub Total '[NZD']]]+(Table132[[#This Row],[Order Sub Total '[NZD']]]*$R$3),"")</f>
        <v/>
      </c>
      <c r="J43" s="65"/>
      <c r="K43" s="65"/>
      <c r="L43" s="65"/>
      <c r="M43" s="23"/>
      <c r="N43" s="23"/>
      <c r="O43" s="23"/>
      <c r="P43" s="23"/>
      <c r="Q43" s="23"/>
      <c r="R43" s="23"/>
      <c r="S43" s="23"/>
      <c r="T43" s="23"/>
      <c r="U43" s="23"/>
      <c r="V43" s="23"/>
    </row>
    <row r="44" spans="2:22" x14ac:dyDescent="0.15">
      <c r="B44" s="60"/>
      <c r="C44" s="60"/>
      <c r="D44" s="61"/>
      <c r="E44" s="60"/>
      <c r="F44" s="62"/>
      <c r="G44" s="62"/>
      <c r="H44" s="63" t="str">
        <f>IF(ISBLANK(Table132[[#This Row],[Unit Cost (ex GST)]]),"",IF(ISBLANK(Table132[[#This Row],[Currency]]),"Select Currency",(Table132[[#This Row],[Order Qty]]*Table132[[#This Row],[Unit Cost (ex GST)]])*VLOOKUP(G44,Table35[#All],2,FALSE)))</f>
        <v/>
      </c>
      <c r="I44" s="64" t="str">
        <f>IF(N(Table132[[#This Row],[Order Sub Total '[NZD']]]),Table132[[#This Row],[Order Sub Total '[NZD']]]+(Table132[[#This Row],[Order Sub Total '[NZD']]]*$R$3),"")</f>
        <v/>
      </c>
      <c r="J44" s="65"/>
      <c r="K44" s="65"/>
      <c r="L44" s="65"/>
      <c r="M44" s="23"/>
      <c r="N44" s="23"/>
      <c r="O44" s="23"/>
      <c r="P44" s="23"/>
      <c r="Q44" s="23"/>
      <c r="R44" s="23"/>
      <c r="S44" s="23"/>
      <c r="T44" s="23"/>
      <c r="U44" s="23"/>
      <c r="V44" s="23"/>
    </row>
    <row r="45" spans="2:22" x14ac:dyDescent="0.15">
      <c r="B45" s="60"/>
      <c r="C45" s="60"/>
      <c r="D45" s="61"/>
      <c r="E45" s="60"/>
      <c r="F45" s="62"/>
      <c r="G45" s="62"/>
      <c r="H45" s="63" t="str">
        <f>IF(ISBLANK(Table132[[#This Row],[Unit Cost (ex GST)]]),"",IF(ISBLANK(Table132[[#This Row],[Currency]]),"Select Currency",(Table132[[#This Row],[Order Qty]]*Table132[[#This Row],[Unit Cost (ex GST)]])*VLOOKUP(G45,Table35[#All],2,FALSE)))</f>
        <v/>
      </c>
      <c r="I45" s="64" t="str">
        <f>IF(N(Table132[[#This Row],[Order Sub Total '[NZD']]]),Table132[[#This Row],[Order Sub Total '[NZD']]]+(Table132[[#This Row],[Order Sub Total '[NZD']]]*$R$3),"")</f>
        <v/>
      </c>
      <c r="J45" s="65"/>
      <c r="K45" s="65"/>
      <c r="L45" s="65"/>
      <c r="M45" s="23"/>
      <c r="N45" s="23"/>
      <c r="O45" s="23"/>
      <c r="P45" s="23"/>
      <c r="Q45" s="23"/>
      <c r="R45" s="23"/>
      <c r="S45" s="23"/>
      <c r="T45" s="23"/>
      <c r="U45" s="23"/>
      <c r="V45" s="23"/>
    </row>
    <row r="46" spans="2:22" x14ac:dyDescent="0.15">
      <c r="B46" s="60"/>
      <c r="C46" s="60"/>
      <c r="D46" s="61"/>
      <c r="E46" s="60"/>
      <c r="F46" s="62"/>
      <c r="G46" s="62"/>
      <c r="H46" s="63" t="str">
        <f>IF(ISBLANK(Table132[[#This Row],[Unit Cost (ex GST)]]),"",IF(ISBLANK(Table132[[#This Row],[Currency]]),"Select Currency",(Table132[[#This Row],[Order Qty]]*Table132[[#This Row],[Unit Cost (ex GST)]])*VLOOKUP(G46,Table35[#All],2,FALSE)))</f>
        <v/>
      </c>
      <c r="I46" s="64" t="str">
        <f>IF(N(Table132[[#This Row],[Order Sub Total '[NZD']]]),Table132[[#This Row],[Order Sub Total '[NZD']]]+(Table132[[#This Row],[Order Sub Total '[NZD']]]*$R$3),"")</f>
        <v/>
      </c>
      <c r="J46" s="65"/>
      <c r="K46" s="65"/>
      <c r="L46" s="65"/>
      <c r="M46" s="23"/>
      <c r="N46" s="23"/>
      <c r="O46" s="23"/>
      <c r="P46" s="23"/>
      <c r="Q46" s="23"/>
      <c r="R46" s="23"/>
      <c r="S46" s="23"/>
      <c r="T46" s="23"/>
      <c r="U46" s="23"/>
      <c r="V46" s="23"/>
    </row>
    <row r="47" spans="2:22" x14ac:dyDescent="0.15">
      <c r="B47" s="60"/>
      <c r="C47" s="60"/>
      <c r="D47" s="61"/>
      <c r="E47" s="60"/>
      <c r="F47" s="62"/>
      <c r="G47" s="62"/>
      <c r="H47" s="63" t="str">
        <f>IF(ISBLANK(Table132[[#This Row],[Unit Cost (ex GST)]]),"",IF(ISBLANK(Table132[[#This Row],[Currency]]),"Select Currency",(Table132[[#This Row],[Order Qty]]*Table132[[#This Row],[Unit Cost (ex GST)]])*VLOOKUP(G47,Table35[#All],2,FALSE)))</f>
        <v/>
      </c>
      <c r="I47" s="64" t="str">
        <f>IF(N(Table132[[#This Row],[Order Sub Total '[NZD']]]),Table132[[#This Row],[Order Sub Total '[NZD']]]+(Table132[[#This Row],[Order Sub Total '[NZD']]]*$R$3),"")</f>
        <v/>
      </c>
      <c r="J47" s="65"/>
      <c r="K47" s="65"/>
      <c r="L47" s="65"/>
      <c r="M47" s="23"/>
      <c r="N47" s="23"/>
      <c r="O47" s="23"/>
      <c r="P47" s="23"/>
      <c r="Q47" s="23"/>
      <c r="R47" s="23"/>
      <c r="S47" s="23"/>
      <c r="T47" s="23"/>
      <c r="U47" s="23"/>
      <c r="V47" s="23"/>
    </row>
    <row r="48" spans="2:22" x14ac:dyDescent="0.15">
      <c r="B48" s="60"/>
      <c r="C48" s="60"/>
      <c r="D48" s="61"/>
      <c r="E48" s="60"/>
      <c r="F48" s="62"/>
      <c r="G48" s="62"/>
      <c r="H48" s="63" t="str">
        <f>IF(ISBLANK(Table132[[#This Row],[Unit Cost (ex GST)]]),"",IF(ISBLANK(Table132[[#This Row],[Currency]]),"Select Currency",(Table132[[#This Row],[Order Qty]]*Table132[[#This Row],[Unit Cost (ex GST)]])*VLOOKUP(G48,Table35[#All],2,FALSE)))</f>
        <v/>
      </c>
      <c r="I48" s="64" t="str">
        <f>IF(N(Table132[[#This Row],[Order Sub Total '[NZD']]]),Table132[[#This Row],[Order Sub Total '[NZD']]]+(Table132[[#This Row],[Order Sub Total '[NZD']]]*$R$3),"")</f>
        <v/>
      </c>
      <c r="J48" s="65"/>
      <c r="K48" s="65"/>
      <c r="L48" s="65"/>
      <c r="M48" s="23"/>
      <c r="N48" s="23"/>
      <c r="O48" s="23"/>
      <c r="P48" s="23"/>
      <c r="Q48" s="23"/>
      <c r="R48" s="23"/>
      <c r="S48" s="23"/>
      <c r="T48" s="23"/>
      <c r="U48" s="23"/>
      <c r="V48" s="23"/>
    </row>
    <row r="49" spans="2:22" x14ac:dyDescent="0.15">
      <c r="B49" s="60"/>
      <c r="C49" s="60"/>
      <c r="D49" s="61"/>
      <c r="E49" s="60"/>
      <c r="F49" s="62"/>
      <c r="G49" s="62"/>
      <c r="H49" s="63" t="str">
        <f>IF(ISBLANK(Table132[[#This Row],[Unit Cost (ex GST)]]),"",IF(ISBLANK(Table132[[#This Row],[Currency]]),"Select Currency",(Table132[[#This Row],[Order Qty]]*Table132[[#This Row],[Unit Cost (ex GST)]])*VLOOKUP(G49,Table35[#All],2,FALSE)))</f>
        <v/>
      </c>
      <c r="I49" s="64" t="str">
        <f>IF(N(Table132[[#This Row],[Order Sub Total '[NZD']]]),Table132[[#This Row],[Order Sub Total '[NZD']]]+(Table132[[#This Row],[Order Sub Total '[NZD']]]*$R$3),"")</f>
        <v/>
      </c>
      <c r="J49" s="65"/>
      <c r="K49" s="65"/>
      <c r="L49" s="65"/>
      <c r="M49" s="23"/>
      <c r="N49" s="23"/>
      <c r="O49" s="23"/>
      <c r="P49" s="23"/>
      <c r="Q49" s="23"/>
      <c r="R49" s="23"/>
      <c r="S49" s="23"/>
      <c r="T49" s="23"/>
      <c r="U49" s="23"/>
      <c r="V49" s="23"/>
    </row>
    <row r="50" spans="2:22" x14ac:dyDescent="0.15">
      <c r="B50" s="60"/>
      <c r="C50" s="60"/>
      <c r="D50" s="61"/>
      <c r="E50" s="60"/>
      <c r="F50" s="62"/>
      <c r="G50" s="62"/>
      <c r="H50" s="63" t="str">
        <f>IF(ISBLANK(Table132[[#This Row],[Unit Cost (ex GST)]]),"",IF(ISBLANK(Table132[[#This Row],[Currency]]),"Select Currency",(Table132[[#This Row],[Order Qty]]*Table132[[#This Row],[Unit Cost (ex GST)]])*VLOOKUP(G50,Table35[#All],2,FALSE)))</f>
        <v/>
      </c>
      <c r="I50" s="64" t="str">
        <f>IF(N(Table132[[#This Row],[Order Sub Total '[NZD']]]),Table132[[#This Row],[Order Sub Total '[NZD']]]+(Table132[[#This Row],[Order Sub Total '[NZD']]]*$R$3),"")</f>
        <v/>
      </c>
      <c r="J50" s="65"/>
      <c r="K50" s="65"/>
      <c r="L50" s="65"/>
      <c r="M50" s="23"/>
      <c r="N50" s="23"/>
      <c r="O50" s="23"/>
      <c r="P50" s="23"/>
      <c r="Q50" s="23"/>
      <c r="R50" s="23"/>
      <c r="S50" s="23"/>
      <c r="T50" s="23"/>
      <c r="U50" s="23"/>
      <c r="V50" s="23"/>
    </row>
    <row r="51" spans="2:22" x14ac:dyDescent="0.15">
      <c r="B51" s="60"/>
      <c r="C51" s="60"/>
      <c r="D51" s="61"/>
      <c r="E51" s="60"/>
      <c r="F51" s="62"/>
      <c r="G51" s="62"/>
      <c r="H51" s="63" t="str">
        <f>IF(ISBLANK(Table132[[#This Row],[Unit Cost (ex GST)]]),"",IF(ISBLANK(Table132[[#This Row],[Currency]]),"Select Currency",(Table132[[#This Row],[Order Qty]]*Table132[[#This Row],[Unit Cost (ex GST)]])*VLOOKUP(G51,Table35[#All],2,FALSE)))</f>
        <v/>
      </c>
      <c r="I51" s="64" t="str">
        <f>IF(N(Table132[[#This Row],[Order Sub Total '[NZD']]]),Table132[[#This Row],[Order Sub Total '[NZD']]]+(Table132[[#This Row],[Order Sub Total '[NZD']]]*$R$3),"")</f>
        <v/>
      </c>
      <c r="J51" s="65"/>
      <c r="K51" s="65"/>
      <c r="L51" s="65"/>
      <c r="M51" s="23"/>
      <c r="N51" s="23"/>
      <c r="O51" s="23"/>
      <c r="P51" s="23"/>
      <c r="Q51" s="23"/>
      <c r="R51" s="23"/>
      <c r="S51" s="23"/>
      <c r="T51" s="23"/>
      <c r="U51" s="23"/>
      <c r="V51" s="23"/>
    </row>
    <row r="52" spans="2:22" x14ac:dyDescent="0.15">
      <c r="B52" s="60"/>
      <c r="C52" s="60"/>
      <c r="D52" s="61"/>
      <c r="E52" s="60"/>
      <c r="F52" s="62"/>
      <c r="G52" s="62"/>
      <c r="H52" s="63" t="str">
        <f>IF(ISBLANK(Table132[[#This Row],[Unit Cost (ex GST)]]),"",IF(ISBLANK(Table132[[#This Row],[Currency]]),"Select Currency",(Table132[[#This Row],[Order Qty]]*Table132[[#This Row],[Unit Cost (ex GST)]])*VLOOKUP(G52,Table35[#All],2,FALSE)))</f>
        <v/>
      </c>
      <c r="I52" s="64" t="str">
        <f>IF(N(Table132[[#This Row],[Order Sub Total '[NZD']]]),Table132[[#This Row],[Order Sub Total '[NZD']]]+(Table132[[#This Row],[Order Sub Total '[NZD']]]*$R$3),"")</f>
        <v/>
      </c>
      <c r="J52" s="65"/>
      <c r="K52" s="65"/>
      <c r="L52" s="65"/>
      <c r="M52" s="23"/>
      <c r="N52" s="23"/>
      <c r="O52" s="23"/>
      <c r="P52" s="23"/>
      <c r="Q52" s="23"/>
      <c r="R52" s="23"/>
      <c r="S52" s="23"/>
      <c r="T52" s="23"/>
      <c r="U52" s="23"/>
      <c r="V52" s="23"/>
    </row>
    <row r="53" spans="2:22" x14ac:dyDescent="0.15">
      <c r="B53" s="60"/>
      <c r="C53" s="60"/>
      <c r="D53" s="61"/>
      <c r="E53" s="60"/>
      <c r="F53" s="62"/>
      <c r="G53" s="62"/>
      <c r="H53" s="63" t="str">
        <f>IF(ISBLANK(Table132[[#This Row],[Unit Cost (ex GST)]]),"",IF(ISBLANK(Table132[[#This Row],[Currency]]),"Select Currency",(Table132[[#This Row],[Order Qty]]*Table132[[#This Row],[Unit Cost (ex GST)]])*VLOOKUP(G53,Table35[#All],2,FALSE)))</f>
        <v/>
      </c>
      <c r="I53" s="64" t="str">
        <f>IF(N(Table132[[#This Row],[Order Sub Total '[NZD']]]),Table132[[#This Row],[Order Sub Total '[NZD']]]+(Table132[[#This Row],[Order Sub Total '[NZD']]]*$R$3),"")</f>
        <v/>
      </c>
      <c r="J53" s="65"/>
      <c r="K53" s="65"/>
      <c r="L53" s="65"/>
      <c r="M53" s="23"/>
      <c r="N53" s="23"/>
      <c r="O53" s="23"/>
      <c r="P53" s="23"/>
      <c r="Q53" s="23"/>
      <c r="R53" s="23"/>
      <c r="S53" s="23"/>
      <c r="T53" s="23"/>
      <c r="U53" s="23"/>
      <c r="V53" s="23"/>
    </row>
    <row r="54" spans="2:22" x14ac:dyDescent="0.15">
      <c r="B54" s="60"/>
      <c r="C54" s="60"/>
      <c r="D54" s="61"/>
      <c r="E54" s="60"/>
      <c r="F54" s="62"/>
      <c r="G54" s="62"/>
      <c r="H54" s="63" t="str">
        <f>IF(ISBLANK(Table132[[#This Row],[Unit Cost (ex GST)]]),"",IF(ISBLANK(Table132[[#This Row],[Currency]]),"Select Currency",(Table132[[#This Row],[Order Qty]]*Table132[[#This Row],[Unit Cost (ex GST)]])*VLOOKUP(G54,Table35[#All],2,FALSE)))</f>
        <v/>
      </c>
      <c r="I54" s="64" t="str">
        <f>IF(N(Table132[[#This Row],[Order Sub Total '[NZD']]]),Table132[[#This Row],[Order Sub Total '[NZD']]]+(Table132[[#This Row],[Order Sub Total '[NZD']]]*$R$3),"")</f>
        <v/>
      </c>
      <c r="J54" s="65"/>
      <c r="K54" s="65"/>
      <c r="L54" s="65"/>
      <c r="M54" s="23"/>
      <c r="N54" s="23"/>
      <c r="O54" s="23"/>
      <c r="P54" s="23"/>
      <c r="Q54" s="23"/>
      <c r="R54" s="23"/>
      <c r="S54" s="23"/>
      <c r="T54" s="23"/>
      <c r="U54" s="23"/>
      <c r="V54" s="23"/>
    </row>
    <row r="55" spans="2:22" x14ac:dyDescent="0.15">
      <c r="B55" s="60"/>
      <c r="C55" s="60"/>
      <c r="D55" s="61"/>
      <c r="E55" s="60"/>
      <c r="F55" s="62"/>
      <c r="G55" s="62"/>
      <c r="H55" s="63" t="str">
        <f>IF(ISBLANK(Table132[[#This Row],[Unit Cost (ex GST)]]),"",IF(ISBLANK(Table132[[#This Row],[Currency]]),"Select Currency",(Table132[[#This Row],[Order Qty]]*Table132[[#This Row],[Unit Cost (ex GST)]])*VLOOKUP(G55,Table35[#All],2,FALSE)))</f>
        <v/>
      </c>
      <c r="I55" s="64" t="str">
        <f>IF(N(Table132[[#This Row],[Order Sub Total '[NZD']]]),Table132[[#This Row],[Order Sub Total '[NZD']]]+(Table132[[#This Row],[Order Sub Total '[NZD']]]*$R$3),"")</f>
        <v/>
      </c>
      <c r="J55" s="65"/>
      <c r="K55" s="65"/>
      <c r="L55" s="65"/>
      <c r="M55" s="23"/>
      <c r="N55" s="23"/>
      <c r="O55" s="23"/>
      <c r="P55" s="23"/>
      <c r="Q55" s="23"/>
      <c r="R55" s="23"/>
      <c r="S55" s="23"/>
      <c r="T55" s="23"/>
      <c r="U55" s="23"/>
      <c r="V55" s="23"/>
    </row>
    <row r="56" spans="2:22" x14ac:dyDescent="0.15">
      <c r="B56" s="60"/>
      <c r="C56" s="60"/>
      <c r="D56" s="61"/>
      <c r="E56" s="60"/>
      <c r="F56" s="62"/>
      <c r="G56" s="62"/>
      <c r="H56" s="63" t="str">
        <f>IF(ISBLANK(Table132[[#This Row],[Unit Cost (ex GST)]]),"",IF(ISBLANK(Table132[[#This Row],[Currency]]),"Select Currency",(Table132[[#This Row],[Order Qty]]*Table132[[#This Row],[Unit Cost (ex GST)]])*VLOOKUP(G56,Table35[#All],2,FALSE)))</f>
        <v/>
      </c>
      <c r="I56" s="64" t="str">
        <f>IF(N(Table132[[#This Row],[Order Sub Total '[NZD']]]),Table132[[#This Row],[Order Sub Total '[NZD']]]+(Table132[[#This Row],[Order Sub Total '[NZD']]]*$R$3),"")</f>
        <v/>
      </c>
      <c r="J56" s="65"/>
      <c r="K56" s="65"/>
      <c r="L56" s="65"/>
      <c r="M56" s="23"/>
      <c r="N56" s="23"/>
      <c r="O56" s="23"/>
      <c r="P56" s="23"/>
      <c r="Q56" s="23"/>
      <c r="R56" s="23"/>
      <c r="S56" s="23"/>
      <c r="T56" s="23"/>
      <c r="U56" s="23"/>
      <c r="V56" s="23"/>
    </row>
    <row r="57" spans="2:22" x14ac:dyDescent="0.15">
      <c r="B57" s="60"/>
      <c r="C57" s="60"/>
      <c r="D57" s="61"/>
      <c r="E57" s="60"/>
      <c r="F57" s="62"/>
      <c r="G57" s="62"/>
      <c r="H57" s="63" t="str">
        <f>IF(ISBLANK(Table132[[#This Row],[Unit Cost (ex GST)]]),"",IF(ISBLANK(Table132[[#This Row],[Currency]]),"Select Currency",(Table132[[#This Row],[Order Qty]]*Table132[[#This Row],[Unit Cost (ex GST)]])*VLOOKUP(G57,Table35[#All],2,FALSE)))</f>
        <v/>
      </c>
      <c r="I57" s="64" t="str">
        <f>IF(N(Table132[[#This Row],[Order Sub Total '[NZD']]]),Table132[[#This Row],[Order Sub Total '[NZD']]]+(Table132[[#This Row],[Order Sub Total '[NZD']]]*$R$3),"")</f>
        <v/>
      </c>
      <c r="J57" s="65"/>
      <c r="K57" s="65"/>
      <c r="L57" s="65"/>
      <c r="M57" s="23"/>
      <c r="N57" s="23"/>
      <c r="O57" s="23"/>
      <c r="P57" s="23"/>
      <c r="Q57" s="23"/>
      <c r="R57" s="23"/>
      <c r="S57" s="23"/>
      <c r="T57" s="23"/>
      <c r="U57" s="23"/>
      <c r="V57" s="23"/>
    </row>
    <row r="58" spans="2:22" x14ac:dyDescent="0.15">
      <c r="B58" s="60"/>
      <c r="C58" s="60"/>
      <c r="D58" s="61"/>
      <c r="E58" s="60"/>
      <c r="F58" s="62"/>
      <c r="G58" s="62"/>
      <c r="H58" s="63" t="str">
        <f>IF(ISBLANK(Table132[[#This Row],[Unit Cost (ex GST)]]),"",IF(ISBLANK(Table132[[#This Row],[Currency]]),"Select Currency",(Table132[[#This Row],[Order Qty]]*Table132[[#This Row],[Unit Cost (ex GST)]])*VLOOKUP(G58,Table35[#All],2,FALSE)))</f>
        <v/>
      </c>
      <c r="I58" s="64" t="str">
        <f>IF(N(Table132[[#This Row],[Order Sub Total '[NZD']]]),Table132[[#This Row],[Order Sub Total '[NZD']]]+(Table132[[#This Row],[Order Sub Total '[NZD']]]*$R$3),"")</f>
        <v/>
      </c>
      <c r="J58" s="65"/>
      <c r="K58" s="65"/>
      <c r="L58" s="65"/>
      <c r="M58" s="23"/>
      <c r="N58" s="23"/>
      <c r="O58" s="23"/>
      <c r="P58" s="23"/>
      <c r="Q58" s="23"/>
      <c r="R58" s="23"/>
      <c r="S58" s="23"/>
      <c r="T58" s="23"/>
      <c r="U58" s="23"/>
      <c r="V58" s="23"/>
    </row>
    <row r="59" spans="2:22" x14ac:dyDescent="0.15">
      <c r="B59" s="60"/>
      <c r="C59" s="60"/>
      <c r="D59" s="61"/>
      <c r="E59" s="60"/>
      <c r="F59" s="62"/>
      <c r="G59" s="62"/>
      <c r="H59" s="63" t="str">
        <f>IF(ISBLANK(Table132[[#This Row],[Unit Cost (ex GST)]]),"",IF(ISBLANK(Table132[[#This Row],[Currency]]),"Select Currency",(Table132[[#This Row],[Order Qty]]*Table132[[#This Row],[Unit Cost (ex GST)]])*VLOOKUP(G59,Table35[#All],2,FALSE)))</f>
        <v/>
      </c>
      <c r="I59" s="64" t="str">
        <f>IF(N(Table132[[#This Row],[Order Sub Total '[NZD']]]),Table132[[#This Row],[Order Sub Total '[NZD']]]+(Table132[[#This Row],[Order Sub Total '[NZD']]]*$R$3),"")</f>
        <v/>
      </c>
      <c r="J59" s="65"/>
      <c r="K59" s="65"/>
      <c r="L59" s="65"/>
      <c r="M59" s="23"/>
      <c r="N59" s="23"/>
      <c r="O59" s="23"/>
      <c r="P59" s="23"/>
      <c r="Q59" s="23"/>
      <c r="R59" s="23"/>
      <c r="S59" s="23"/>
      <c r="T59" s="23"/>
      <c r="U59" s="23"/>
      <c r="V59" s="23"/>
    </row>
    <row r="60" spans="2:22" x14ac:dyDescent="0.15">
      <c r="B60" s="60"/>
      <c r="C60" s="60"/>
      <c r="D60" s="61"/>
      <c r="E60" s="60"/>
      <c r="F60" s="62"/>
      <c r="G60" s="62"/>
      <c r="H60" s="63" t="str">
        <f>IF(ISBLANK(Table132[[#This Row],[Unit Cost (ex GST)]]),"",IF(ISBLANK(Table132[[#This Row],[Currency]]),"Select Currency",(Table132[[#This Row],[Order Qty]]*Table132[[#This Row],[Unit Cost (ex GST)]])*VLOOKUP(G60,Table35[#All],2,FALSE)))</f>
        <v/>
      </c>
      <c r="I60" s="64" t="str">
        <f>IF(N(Table132[[#This Row],[Order Sub Total '[NZD']]]),Table132[[#This Row],[Order Sub Total '[NZD']]]+(Table132[[#This Row],[Order Sub Total '[NZD']]]*$R$3),"")</f>
        <v/>
      </c>
      <c r="J60" s="65"/>
      <c r="K60" s="65"/>
      <c r="L60" s="65"/>
      <c r="M60" s="23"/>
      <c r="N60" s="23"/>
      <c r="O60" s="23"/>
      <c r="P60" s="23"/>
      <c r="Q60" s="23"/>
      <c r="R60" s="23"/>
      <c r="S60" s="23"/>
      <c r="T60" s="23"/>
      <c r="U60" s="23"/>
      <c r="V60" s="23"/>
    </row>
    <row r="61" spans="2:22" x14ac:dyDescent="0.15">
      <c r="B61" s="60"/>
      <c r="C61" s="60"/>
      <c r="D61" s="61"/>
      <c r="E61" s="60"/>
      <c r="F61" s="62"/>
      <c r="G61" s="62"/>
      <c r="H61" s="63" t="str">
        <f>IF(ISBLANK(Table132[[#This Row],[Unit Cost (ex GST)]]),"",IF(ISBLANK(Table132[[#This Row],[Currency]]),"Select Currency",(Table132[[#This Row],[Order Qty]]*Table132[[#This Row],[Unit Cost (ex GST)]])*VLOOKUP(G61,Table35[#All],2,FALSE)))</f>
        <v/>
      </c>
      <c r="I61" s="64" t="str">
        <f>IF(N(Table132[[#This Row],[Order Sub Total '[NZD']]]),Table132[[#This Row],[Order Sub Total '[NZD']]]+(Table132[[#This Row],[Order Sub Total '[NZD']]]*$R$3),"")</f>
        <v/>
      </c>
      <c r="J61" s="65"/>
      <c r="K61" s="65"/>
      <c r="L61" s="65"/>
      <c r="M61" s="23"/>
      <c r="N61" s="23"/>
      <c r="O61" s="23"/>
      <c r="P61" s="23"/>
      <c r="Q61" s="23"/>
      <c r="R61" s="23"/>
      <c r="S61" s="23"/>
      <c r="T61" s="23"/>
      <c r="U61" s="23"/>
      <c r="V61" s="23"/>
    </row>
    <row r="62" spans="2:22" x14ac:dyDescent="0.15">
      <c r="B62" s="60"/>
      <c r="C62" s="60"/>
      <c r="D62" s="61"/>
      <c r="E62" s="60"/>
      <c r="F62" s="62"/>
      <c r="G62" s="62"/>
      <c r="H62" s="63" t="str">
        <f>IF(ISBLANK(Table132[[#This Row],[Unit Cost (ex GST)]]),"",IF(ISBLANK(Table132[[#This Row],[Currency]]),"Select Currency",(Table132[[#This Row],[Order Qty]]*Table132[[#This Row],[Unit Cost (ex GST)]])*VLOOKUP(G62,Table35[#All],2,FALSE)))</f>
        <v/>
      </c>
      <c r="I62" s="64" t="str">
        <f>IF(N(Table132[[#This Row],[Order Sub Total '[NZD']]]),Table132[[#This Row],[Order Sub Total '[NZD']]]+(Table132[[#This Row],[Order Sub Total '[NZD']]]*$R$3),"")</f>
        <v/>
      </c>
      <c r="J62" s="65"/>
      <c r="K62" s="65"/>
      <c r="L62" s="65"/>
      <c r="M62" s="23"/>
      <c r="N62" s="23"/>
      <c r="O62" s="23"/>
      <c r="P62" s="23"/>
      <c r="Q62" s="23"/>
      <c r="R62" s="23"/>
      <c r="S62" s="23"/>
      <c r="T62" s="23"/>
      <c r="U62" s="23"/>
      <c r="V62" s="23"/>
    </row>
    <row r="63" spans="2:22" x14ac:dyDescent="0.15">
      <c r="B63" s="60"/>
      <c r="C63" s="60"/>
      <c r="D63" s="61"/>
      <c r="E63" s="60"/>
      <c r="F63" s="62"/>
      <c r="G63" s="62"/>
      <c r="H63" s="63" t="str">
        <f>IF(ISBLANK(Table132[[#This Row],[Unit Cost (ex GST)]]),"",IF(ISBLANK(Table132[[#This Row],[Currency]]),"Select Currency",(Table132[[#This Row],[Order Qty]]*Table132[[#This Row],[Unit Cost (ex GST)]])*VLOOKUP(G63,Table35[#All],2,FALSE)))</f>
        <v/>
      </c>
      <c r="I63" s="64" t="str">
        <f>IF(N(Table132[[#This Row],[Order Sub Total '[NZD']]]),Table132[[#This Row],[Order Sub Total '[NZD']]]+(Table132[[#This Row],[Order Sub Total '[NZD']]]*$R$3),"")</f>
        <v/>
      </c>
      <c r="J63" s="65"/>
      <c r="K63" s="65"/>
      <c r="L63" s="65"/>
      <c r="M63" s="23"/>
      <c r="N63" s="23"/>
      <c r="O63" s="23"/>
      <c r="P63" s="23"/>
      <c r="Q63" s="23"/>
      <c r="R63" s="23"/>
      <c r="S63" s="23"/>
      <c r="T63" s="23"/>
      <c r="U63" s="23"/>
      <c r="V63" s="23"/>
    </row>
    <row r="64" spans="2:22" x14ac:dyDescent="0.15">
      <c r="B64" s="60"/>
      <c r="C64" s="60"/>
      <c r="D64" s="61"/>
      <c r="E64" s="60"/>
      <c r="F64" s="62"/>
      <c r="G64" s="62"/>
      <c r="H64" s="63" t="str">
        <f>IF(ISBLANK(Table132[[#This Row],[Unit Cost (ex GST)]]),"",IF(ISBLANK(Table132[[#This Row],[Currency]]),"Select Currency",(Table132[[#This Row],[Order Qty]]*Table132[[#This Row],[Unit Cost (ex GST)]])*VLOOKUP(G64,Table35[#All],2,FALSE)))</f>
        <v/>
      </c>
      <c r="I64" s="64" t="str">
        <f>IF(N(Table132[[#This Row],[Order Sub Total '[NZD']]]),Table132[[#This Row],[Order Sub Total '[NZD']]]+(Table132[[#This Row],[Order Sub Total '[NZD']]]*$R$3),"")</f>
        <v/>
      </c>
      <c r="J64" s="65"/>
      <c r="K64" s="65"/>
      <c r="L64" s="65"/>
      <c r="M64" s="23"/>
      <c r="N64" s="23"/>
      <c r="O64" s="23"/>
      <c r="P64" s="23"/>
      <c r="Q64" s="23"/>
      <c r="R64" s="23"/>
      <c r="S64" s="23"/>
      <c r="T64" s="23"/>
      <c r="U64" s="23"/>
      <c r="V64" s="23"/>
    </row>
    <row r="65" spans="2:22" x14ac:dyDescent="0.15">
      <c r="B65" s="60"/>
      <c r="C65" s="60"/>
      <c r="D65" s="61"/>
      <c r="E65" s="60"/>
      <c r="F65" s="62"/>
      <c r="G65" s="62"/>
      <c r="H65" s="63" t="str">
        <f>IF(ISBLANK(Table132[[#This Row],[Unit Cost (ex GST)]]),"",IF(ISBLANK(Table132[[#This Row],[Currency]]),"Select Currency",(Table132[[#This Row],[Order Qty]]*Table132[[#This Row],[Unit Cost (ex GST)]])*VLOOKUP(G65,Table35[#All],2,FALSE)))</f>
        <v/>
      </c>
      <c r="I65" s="64" t="str">
        <f>IF(N(Table132[[#This Row],[Order Sub Total '[NZD']]]),Table132[[#This Row],[Order Sub Total '[NZD']]]+(Table132[[#This Row],[Order Sub Total '[NZD']]]*$R$3),"")</f>
        <v/>
      </c>
      <c r="J65" s="65"/>
      <c r="K65" s="65"/>
      <c r="L65" s="65"/>
      <c r="M65" s="23"/>
      <c r="N65" s="23"/>
      <c r="O65" s="23"/>
      <c r="P65" s="23"/>
      <c r="Q65" s="23"/>
      <c r="R65" s="23"/>
      <c r="S65" s="23"/>
      <c r="T65" s="23"/>
      <c r="U65" s="23"/>
      <c r="V65" s="23"/>
    </row>
    <row r="66" spans="2:22" x14ac:dyDescent="0.15">
      <c r="B66" s="60"/>
      <c r="C66" s="60"/>
      <c r="D66" s="61"/>
      <c r="E66" s="60"/>
      <c r="F66" s="62"/>
      <c r="G66" s="62"/>
      <c r="H66" s="63" t="str">
        <f>IF(ISBLANK(Table132[[#This Row],[Unit Cost (ex GST)]]),"",IF(ISBLANK(Table132[[#This Row],[Currency]]),"Select Currency",(Table132[[#This Row],[Order Qty]]*Table132[[#This Row],[Unit Cost (ex GST)]])*VLOOKUP(G66,Table35[#All],2,FALSE)))</f>
        <v/>
      </c>
      <c r="I66" s="64" t="str">
        <f>IF(N(Table132[[#This Row],[Order Sub Total '[NZD']]]),Table132[[#This Row],[Order Sub Total '[NZD']]]+(Table132[[#This Row],[Order Sub Total '[NZD']]]*$R$3),"")</f>
        <v/>
      </c>
      <c r="J66" s="65"/>
      <c r="K66" s="65"/>
      <c r="L66" s="65"/>
      <c r="M66" s="23"/>
      <c r="N66" s="23"/>
      <c r="O66" s="23"/>
      <c r="P66" s="23"/>
      <c r="Q66" s="23"/>
      <c r="R66" s="23"/>
      <c r="S66" s="23"/>
      <c r="T66" s="23"/>
      <c r="U66" s="23"/>
      <c r="V66" s="23"/>
    </row>
    <row r="67" spans="2:22" x14ac:dyDescent="0.15">
      <c r="B67" s="60"/>
      <c r="C67" s="60"/>
      <c r="D67" s="61"/>
      <c r="E67" s="60"/>
      <c r="F67" s="62"/>
      <c r="G67" s="62"/>
      <c r="H67" s="63" t="str">
        <f>IF(ISBLANK(Table132[[#This Row],[Unit Cost (ex GST)]]),"",IF(ISBLANK(Table132[[#This Row],[Currency]]),"Select Currency",(Table132[[#This Row],[Order Qty]]*Table132[[#This Row],[Unit Cost (ex GST)]])*VLOOKUP(G67,Table35[#All],2,FALSE)))</f>
        <v/>
      </c>
      <c r="I67" s="64" t="str">
        <f>IF(N(Table132[[#This Row],[Order Sub Total '[NZD']]]),Table132[[#This Row],[Order Sub Total '[NZD']]]+(Table132[[#This Row],[Order Sub Total '[NZD']]]*$R$3),"")</f>
        <v/>
      </c>
      <c r="J67" s="65"/>
      <c r="K67" s="65"/>
      <c r="L67" s="65"/>
      <c r="M67" s="23"/>
      <c r="N67" s="23"/>
      <c r="O67" s="23"/>
      <c r="P67" s="23"/>
      <c r="Q67" s="23"/>
      <c r="R67" s="23"/>
      <c r="S67" s="23"/>
      <c r="T67" s="23"/>
      <c r="U67" s="23"/>
      <c r="V67" s="23"/>
    </row>
    <row r="68" spans="2:22" x14ac:dyDescent="0.15">
      <c r="B68" s="60"/>
      <c r="C68" s="60"/>
      <c r="D68" s="61"/>
      <c r="E68" s="60"/>
      <c r="F68" s="62"/>
      <c r="G68" s="62"/>
      <c r="H68" s="63" t="str">
        <f>IF(ISBLANK(Table132[[#This Row],[Unit Cost (ex GST)]]),"",IF(ISBLANK(Table132[[#This Row],[Currency]]),"Select Currency",(Table132[[#This Row],[Order Qty]]*Table132[[#This Row],[Unit Cost (ex GST)]])*VLOOKUP(G68,Table35[#All],2,FALSE)))</f>
        <v/>
      </c>
      <c r="I68" s="64" t="str">
        <f>IF(N(Table132[[#This Row],[Order Sub Total '[NZD']]]),Table132[[#This Row],[Order Sub Total '[NZD']]]+(Table132[[#This Row],[Order Sub Total '[NZD']]]*$R$3),"")</f>
        <v/>
      </c>
      <c r="J68" s="65"/>
      <c r="K68" s="65"/>
      <c r="L68" s="65"/>
      <c r="M68" s="23"/>
      <c r="N68" s="23"/>
      <c r="O68" s="23"/>
      <c r="P68" s="23"/>
      <c r="Q68" s="23"/>
      <c r="R68" s="23"/>
      <c r="S68" s="23"/>
      <c r="T68" s="23"/>
      <c r="U68" s="23"/>
      <c r="V68" s="23"/>
    </row>
    <row r="69" spans="2:22" x14ac:dyDescent="0.15">
      <c r="B69" s="60"/>
      <c r="C69" s="60"/>
      <c r="D69" s="61"/>
      <c r="E69" s="60"/>
      <c r="F69" s="62"/>
      <c r="G69" s="62"/>
      <c r="H69" s="63" t="str">
        <f>IF(ISBLANK(Table132[[#This Row],[Unit Cost (ex GST)]]),"",IF(ISBLANK(Table132[[#This Row],[Currency]]),"Select Currency",(Table132[[#This Row],[Order Qty]]*Table132[[#This Row],[Unit Cost (ex GST)]])*VLOOKUP(G69,Table35[#All],2,FALSE)))</f>
        <v/>
      </c>
      <c r="I69" s="64" t="str">
        <f>IF(N(Table132[[#This Row],[Order Sub Total '[NZD']]]),Table132[[#This Row],[Order Sub Total '[NZD']]]+(Table132[[#This Row],[Order Sub Total '[NZD']]]*$R$3),"")</f>
        <v/>
      </c>
      <c r="J69" s="65"/>
      <c r="K69" s="65"/>
      <c r="L69" s="65"/>
      <c r="M69" s="23"/>
      <c r="N69" s="23"/>
      <c r="O69" s="23"/>
      <c r="P69" s="23"/>
      <c r="Q69" s="23"/>
      <c r="R69" s="23"/>
      <c r="S69" s="23"/>
      <c r="T69" s="23"/>
      <c r="U69" s="23"/>
      <c r="V69" s="23"/>
    </row>
    <row r="70" spans="2:22" x14ac:dyDescent="0.15">
      <c r="B70" s="60"/>
      <c r="C70" s="60"/>
      <c r="D70" s="61"/>
      <c r="E70" s="60"/>
      <c r="F70" s="62"/>
      <c r="G70" s="62"/>
      <c r="H70" s="63" t="str">
        <f>IF(ISBLANK(Table132[[#This Row],[Unit Cost (ex GST)]]),"",IF(ISBLANK(Table132[[#This Row],[Currency]]),"Select Currency",(Table132[[#This Row],[Order Qty]]*Table132[[#This Row],[Unit Cost (ex GST)]])*VLOOKUP(G70,Table35[#All],2,FALSE)))</f>
        <v/>
      </c>
      <c r="I70" s="64" t="str">
        <f>IF(N(Table132[[#This Row],[Order Sub Total '[NZD']]]),Table132[[#This Row],[Order Sub Total '[NZD']]]+(Table132[[#This Row],[Order Sub Total '[NZD']]]*$R$3),"")</f>
        <v/>
      </c>
      <c r="J70" s="65"/>
      <c r="K70" s="65"/>
      <c r="L70" s="65"/>
      <c r="M70" s="23"/>
      <c r="N70" s="23"/>
      <c r="O70" s="23"/>
      <c r="P70" s="23"/>
      <c r="Q70" s="23"/>
      <c r="R70" s="23"/>
      <c r="S70" s="23"/>
      <c r="T70" s="23"/>
      <c r="U70" s="23"/>
      <c r="V70" s="23"/>
    </row>
    <row r="71" spans="2:22" x14ac:dyDescent="0.15">
      <c r="B71" s="60"/>
      <c r="C71" s="60"/>
      <c r="D71" s="61"/>
      <c r="E71" s="60"/>
      <c r="F71" s="62"/>
      <c r="G71" s="62"/>
      <c r="H71" s="63" t="str">
        <f>IF(ISBLANK(Table132[[#This Row],[Unit Cost (ex GST)]]),"",IF(ISBLANK(Table132[[#This Row],[Currency]]),"Select Currency",(Table132[[#This Row],[Order Qty]]*Table132[[#This Row],[Unit Cost (ex GST)]])*VLOOKUP(G71,Table35[#All],2,FALSE)))</f>
        <v/>
      </c>
      <c r="I71" s="64" t="str">
        <f>IF(N(Table132[[#This Row],[Order Sub Total '[NZD']]]),Table132[[#This Row],[Order Sub Total '[NZD']]]+(Table132[[#This Row],[Order Sub Total '[NZD']]]*$R$3),"")</f>
        <v/>
      </c>
      <c r="J71" s="65"/>
      <c r="K71" s="65"/>
      <c r="L71" s="65"/>
      <c r="M71" s="23"/>
      <c r="N71" s="23"/>
      <c r="O71" s="23"/>
      <c r="P71" s="23"/>
      <c r="Q71" s="23"/>
      <c r="R71" s="23"/>
      <c r="S71" s="23"/>
      <c r="T71" s="23"/>
      <c r="U71" s="23"/>
      <c r="V71" s="23"/>
    </row>
    <row r="72" spans="2:22" x14ac:dyDescent="0.15">
      <c r="B72" s="60"/>
      <c r="C72" s="60"/>
      <c r="D72" s="61"/>
      <c r="E72" s="60"/>
      <c r="F72" s="62"/>
      <c r="G72" s="62"/>
      <c r="H72" s="63" t="str">
        <f>IF(ISBLANK(Table132[[#This Row],[Unit Cost (ex GST)]]),"",IF(ISBLANK(Table132[[#This Row],[Currency]]),"Select Currency",(Table132[[#This Row],[Order Qty]]*Table132[[#This Row],[Unit Cost (ex GST)]])*VLOOKUP(G72,Table35[#All],2,FALSE)))</f>
        <v/>
      </c>
      <c r="I72" s="64" t="str">
        <f>IF(N(Table132[[#This Row],[Order Sub Total '[NZD']]]),Table132[[#This Row],[Order Sub Total '[NZD']]]+(Table132[[#This Row],[Order Sub Total '[NZD']]]*$R$3),"")</f>
        <v/>
      </c>
      <c r="J72" s="65"/>
      <c r="K72" s="65"/>
      <c r="L72" s="65"/>
      <c r="M72" s="23"/>
      <c r="N72" s="23"/>
      <c r="O72" s="23"/>
      <c r="P72" s="23"/>
      <c r="Q72" s="23"/>
      <c r="R72" s="23"/>
      <c r="S72" s="23"/>
      <c r="T72" s="23"/>
      <c r="U72" s="23"/>
      <c r="V72" s="23"/>
    </row>
    <row r="73" spans="2:22" x14ac:dyDescent="0.15">
      <c r="B73" s="60"/>
      <c r="C73" s="60"/>
      <c r="D73" s="61"/>
      <c r="E73" s="60"/>
      <c r="F73" s="62"/>
      <c r="G73" s="62"/>
      <c r="H73" s="63" t="str">
        <f>IF(ISBLANK(Table132[[#This Row],[Unit Cost (ex GST)]]),"",IF(ISBLANK(Table132[[#This Row],[Currency]]),"Select Currency",(Table132[[#This Row],[Order Qty]]*Table132[[#This Row],[Unit Cost (ex GST)]])*VLOOKUP(G73,Table35[#All],2,FALSE)))</f>
        <v/>
      </c>
      <c r="I73" s="64" t="str">
        <f>IF(N(Table132[[#This Row],[Order Sub Total '[NZD']]]),Table132[[#This Row],[Order Sub Total '[NZD']]]+(Table132[[#This Row],[Order Sub Total '[NZD']]]*$R$3),"")</f>
        <v/>
      </c>
      <c r="J73" s="65"/>
      <c r="K73" s="65"/>
      <c r="L73" s="65"/>
      <c r="M73" s="23"/>
      <c r="N73" s="23"/>
      <c r="O73" s="23"/>
      <c r="P73" s="23"/>
      <c r="Q73" s="23"/>
      <c r="R73" s="23"/>
      <c r="S73" s="23"/>
      <c r="T73" s="23"/>
      <c r="U73" s="23"/>
      <c r="V73" s="23"/>
    </row>
    <row r="74" spans="2:22" x14ac:dyDescent="0.15">
      <c r="B74" s="60"/>
      <c r="C74" s="60"/>
      <c r="D74" s="61"/>
      <c r="E74" s="60"/>
      <c r="F74" s="62"/>
      <c r="G74" s="62"/>
      <c r="H74" s="63" t="str">
        <f>IF(ISBLANK(Table132[[#This Row],[Unit Cost (ex GST)]]),"",IF(ISBLANK(Table132[[#This Row],[Currency]]),"Select Currency",(Table132[[#This Row],[Order Qty]]*Table132[[#This Row],[Unit Cost (ex GST)]])*VLOOKUP(G74,Table35[#All],2,FALSE)))</f>
        <v/>
      </c>
      <c r="I74" s="64" t="str">
        <f>IF(N(Table132[[#This Row],[Order Sub Total '[NZD']]]),Table132[[#This Row],[Order Sub Total '[NZD']]]+(Table132[[#This Row],[Order Sub Total '[NZD']]]*$R$3),"")</f>
        <v/>
      </c>
      <c r="J74" s="65"/>
      <c r="K74" s="65"/>
      <c r="L74" s="65"/>
      <c r="M74" s="23"/>
      <c r="N74" s="23"/>
      <c r="O74" s="23"/>
      <c r="P74" s="23"/>
      <c r="Q74" s="23"/>
      <c r="R74" s="23"/>
      <c r="S74" s="23"/>
      <c r="T74" s="23"/>
      <c r="U74" s="23"/>
      <c r="V74" s="23"/>
    </row>
    <row r="75" spans="2:22" x14ac:dyDescent="0.15">
      <c r="B75" s="60"/>
      <c r="C75" s="60"/>
      <c r="D75" s="61"/>
      <c r="E75" s="60"/>
      <c r="F75" s="62"/>
      <c r="G75" s="62"/>
      <c r="H75" s="63" t="str">
        <f>IF(ISBLANK(Table132[[#This Row],[Unit Cost (ex GST)]]),"",IF(ISBLANK(Table132[[#This Row],[Currency]]),"Select Currency",(Table132[[#This Row],[Order Qty]]*Table132[[#This Row],[Unit Cost (ex GST)]])*VLOOKUP(G75,Table35[#All],2,FALSE)))</f>
        <v/>
      </c>
      <c r="I75" s="64" t="str">
        <f>IF(N(Table132[[#This Row],[Order Sub Total '[NZD']]]),Table132[[#This Row],[Order Sub Total '[NZD']]]+(Table132[[#This Row],[Order Sub Total '[NZD']]]*$R$3),"")</f>
        <v/>
      </c>
      <c r="J75" s="65"/>
      <c r="K75" s="65"/>
      <c r="L75" s="65"/>
      <c r="M75" s="23"/>
      <c r="N75" s="23"/>
      <c r="O75" s="23"/>
      <c r="P75" s="23"/>
      <c r="Q75" s="23"/>
      <c r="R75" s="23"/>
      <c r="S75" s="23"/>
      <c r="T75" s="23"/>
      <c r="U75" s="23"/>
      <c r="V75" s="23"/>
    </row>
    <row r="76" spans="2:22" x14ac:dyDescent="0.15">
      <c r="B76" s="60"/>
      <c r="C76" s="60"/>
      <c r="D76" s="61"/>
      <c r="E76" s="60"/>
      <c r="F76" s="62"/>
      <c r="G76" s="62"/>
      <c r="H76" s="63" t="str">
        <f>IF(ISBLANK(Table132[[#This Row],[Unit Cost (ex GST)]]),"",IF(ISBLANK(Table132[[#This Row],[Currency]]),"Select Currency",(Table132[[#This Row],[Order Qty]]*Table132[[#This Row],[Unit Cost (ex GST)]])*VLOOKUP(G76,Table35[#All],2,FALSE)))</f>
        <v/>
      </c>
      <c r="I76" s="64" t="str">
        <f>IF(N(Table132[[#This Row],[Order Sub Total '[NZD']]]),Table132[[#This Row],[Order Sub Total '[NZD']]]+(Table132[[#This Row],[Order Sub Total '[NZD']]]*$R$3),"")</f>
        <v/>
      </c>
      <c r="J76" s="65"/>
      <c r="K76" s="65"/>
      <c r="L76" s="65"/>
      <c r="M76" s="23"/>
      <c r="N76" s="23"/>
      <c r="O76" s="23"/>
      <c r="P76" s="23"/>
      <c r="Q76" s="23"/>
      <c r="R76" s="23"/>
      <c r="S76" s="23"/>
      <c r="T76" s="23"/>
      <c r="U76" s="23"/>
      <c r="V76" s="23"/>
    </row>
    <row r="77" spans="2:22" x14ac:dyDescent="0.15">
      <c r="B77" s="60"/>
      <c r="C77" s="60"/>
      <c r="D77" s="61"/>
      <c r="E77" s="60"/>
      <c r="F77" s="62"/>
      <c r="G77" s="62"/>
      <c r="H77" s="63" t="str">
        <f>IF(ISBLANK(Table132[[#This Row],[Unit Cost (ex GST)]]),"",IF(ISBLANK(Table132[[#This Row],[Currency]]),"Select Currency",(Table132[[#This Row],[Order Qty]]*Table132[[#This Row],[Unit Cost (ex GST)]])*VLOOKUP(G77,Table35[#All],2,FALSE)))</f>
        <v/>
      </c>
      <c r="I77" s="64" t="str">
        <f>IF(N(Table132[[#This Row],[Order Sub Total '[NZD']]]),Table132[[#This Row],[Order Sub Total '[NZD']]]+(Table132[[#This Row],[Order Sub Total '[NZD']]]*$R$3),"")</f>
        <v/>
      </c>
      <c r="J77" s="65"/>
      <c r="K77" s="65"/>
      <c r="L77" s="65"/>
      <c r="M77" s="23"/>
      <c r="N77" s="23"/>
      <c r="O77" s="23"/>
      <c r="P77" s="23"/>
      <c r="Q77" s="23"/>
      <c r="R77" s="23"/>
      <c r="S77" s="23"/>
      <c r="T77" s="23"/>
      <c r="U77" s="23"/>
      <c r="V77" s="23"/>
    </row>
    <row r="78" spans="2:22" x14ac:dyDescent="0.15">
      <c r="B78" s="60"/>
      <c r="C78" s="60"/>
      <c r="D78" s="61"/>
      <c r="E78" s="60"/>
      <c r="F78" s="62"/>
      <c r="G78" s="62"/>
      <c r="H78" s="63" t="str">
        <f>IF(ISBLANK(Table132[[#This Row],[Unit Cost (ex GST)]]),"",IF(ISBLANK(Table132[[#This Row],[Currency]]),"Select Currency",(Table132[[#This Row],[Order Qty]]*Table132[[#This Row],[Unit Cost (ex GST)]])*VLOOKUP(G78,Table35[#All],2,FALSE)))</f>
        <v/>
      </c>
      <c r="I78" s="64" t="str">
        <f>IF(N(Table132[[#This Row],[Order Sub Total '[NZD']]]),Table132[[#This Row],[Order Sub Total '[NZD']]]+(Table132[[#This Row],[Order Sub Total '[NZD']]]*$R$3),"")</f>
        <v/>
      </c>
      <c r="J78" s="65"/>
      <c r="K78" s="65"/>
      <c r="L78" s="65"/>
      <c r="M78" s="23"/>
      <c r="N78" s="23"/>
      <c r="O78" s="23"/>
      <c r="P78" s="23"/>
      <c r="Q78" s="23"/>
      <c r="R78" s="23"/>
      <c r="S78" s="23"/>
      <c r="T78" s="23"/>
      <c r="U78" s="23"/>
      <c r="V78" s="23"/>
    </row>
    <row r="79" spans="2:22" x14ac:dyDescent="0.15">
      <c r="B79" s="60"/>
      <c r="C79" s="60"/>
      <c r="D79" s="61"/>
      <c r="E79" s="60"/>
      <c r="F79" s="62"/>
      <c r="G79" s="62"/>
      <c r="H79" s="63" t="str">
        <f>IF(ISBLANK(Table132[[#This Row],[Unit Cost (ex GST)]]),"",IF(ISBLANK(Table132[[#This Row],[Currency]]),"Select Currency",(Table132[[#This Row],[Order Qty]]*Table132[[#This Row],[Unit Cost (ex GST)]])*VLOOKUP(G79,Table35[#All],2,FALSE)))</f>
        <v/>
      </c>
      <c r="I79" s="64" t="str">
        <f>IF(N(Table132[[#This Row],[Order Sub Total '[NZD']]]),Table132[[#This Row],[Order Sub Total '[NZD']]]+(Table132[[#This Row],[Order Sub Total '[NZD']]]*$R$3),"")</f>
        <v/>
      </c>
      <c r="J79" s="65"/>
      <c r="K79" s="65"/>
      <c r="L79" s="65"/>
      <c r="M79" s="23"/>
      <c r="N79" s="23"/>
      <c r="O79" s="23"/>
      <c r="P79" s="23"/>
      <c r="Q79" s="23"/>
      <c r="R79" s="23"/>
      <c r="S79" s="23"/>
      <c r="T79" s="23"/>
      <c r="U79" s="23"/>
      <c r="V79" s="23"/>
    </row>
    <row r="80" spans="2:22" x14ac:dyDescent="0.15">
      <c r="B80" s="60"/>
      <c r="C80" s="60"/>
      <c r="D80" s="61"/>
      <c r="E80" s="60"/>
      <c r="F80" s="62"/>
      <c r="G80" s="62"/>
      <c r="H80" s="63" t="str">
        <f>IF(ISBLANK(Table132[[#This Row],[Unit Cost (ex GST)]]),"",IF(ISBLANK(Table132[[#This Row],[Currency]]),"Select Currency",(Table132[[#This Row],[Order Qty]]*Table132[[#This Row],[Unit Cost (ex GST)]])*VLOOKUP(G80,Table35[#All],2,FALSE)))</f>
        <v/>
      </c>
      <c r="I80" s="64" t="str">
        <f>IF(N(Table132[[#This Row],[Order Sub Total '[NZD']]]),Table132[[#This Row],[Order Sub Total '[NZD']]]+(Table132[[#This Row],[Order Sub Total '[NZD']]]*$R$3),"")</f>
        <v/>
      </c>
      <c r="J80" s="65"/>
      <c r="K80" s="65"/>
      <c r="L80" s="65"/>
      <c r="M80" s="23"/>
      <c r="N80" s="23"/>
      <c r="O80" s="23"/>
      <c r="P80" s="23"/>
      <c r="Q80" s="23"/>
      <c r="R80" s="23"/>
      <c r="S80" s="23"/>
      <c r="T80" s="23"/>
      <c r="U80" s="23"/>
      <c r="V80" s="23"/>
    </row>
    <row r="81" spans="2:22" x14ac:dyDescent="0.15">
      <c r="B81" s="60"/>
      <c r="C81" s="60"/>
      <c r="D81" s="61"/>
      <c r="E81" s="60"/>
      <c r="F81" s="62"/>
      <c r="G81" s="62"/>
      <c r="H81" s="63" t="str">
        <f>IF(ISBLANK(Table132[[#This Row],[Unit Cost (ex GST)]]),"",IF(ISBLANK(Table132[[#This Row],[Currency]]),"Select Currency",(Table132[[#This Row],[Order Qty]]*Table132[[#This Row],[Unit Cost (ex GST)]])*VLOOKUP(G81,Table35[#All],2,FALSE)))</f>
        <v/>
      </c>
      <c r="I81" s="64" t="str">
        <f>IF(N(Table132[[#This Row],[Order Sub Total '[NZD']]]),Table132[[#This Row],[Order Sub Total '[NZD']]]+(Table132[[#This Row],[Order Sub Total '[NZD']]]*$R$3),"")</f>
        <v/>
      </c>
      <c r="J81" s="65"/>
      <c r="K81" s="65"/>
      <c r="L81" s="65"/>
      <c r="M81" s="23"/>
      <c r="N81" s="23"/>
      <c r="O81" s="23"/>
      <c r="P81" s="23"/>
      <c r="Q81" s="23"/>
      <c r="R81" s="23"/>
      <c r="S81" s="23"/>
      <c r="T81" s="23"/>
      <c r="U81" s="23"/>
      <c r="V81" s="23"/>
    </row>
    <row r="82" spans="2:22" x14ac:dyDescent="0.15">
      <c r="B82" s="60"/>
      <c r="C82" s="60"/>
      <c r="D82" s="61"/>
      <c r="E82" s="60"/>
      <c r="F82" s="62"/>
      <c r="G82" s="62"/>
      <c r="H82" s="63" t="str">
        <f>IF(ISBLANK(Table132[[#This Row],[Unit Cost (ex GST)]]),"",IF(ISBLANK(Table132[[#This Row],[Currency]]),"Select Currency",(Table132[[#This Row],[Order Qty]]*Table132[[#This Row],[Unit Cost (ex GST)]])*VLOOKUP(G82,Table35[#All],2,FALSE)))</f>
        <v/>
      </c>
      <c r="I82" s="64" t="str">
        <f>IF(N(Table132[[#This Row],[Order Sub Total '[NZD']]]),Table132[[#This Row],[Order Sub Total '[NZD']]]+(Table132[[#This Row],[Order Sub Total '[NZD']]]*$R$3),"")</f>
        <v/>
      </c>
      <c r="J82" s="65"/>
      <c r="K82" s="65"/>
      <c r="L82" s="65"/>
      <c r="M82" s="23"/>
      <c r="N82" s="23"/>
      <c r="O82" s="23"/>
      <c r="P82" s="23"/>
      <c r="Q82" s="23"/>
      <c r="R82" s="23"/>
      <c r="S82" s="23"/>
      <c r="T82" s="23"/>
      <c r="U82" s="23"/>
      <c r="V82" s="23"/>
    </row>
    <row r="83" spans="2:22" x14ac:dyDescent="0.15">
      <c r="B83" s="60"/>
      <c r="C83" s="60"/>
      <c r="D83" s="61"/>
      <c r="E83" s="60"/>
      <c r="F83" s="62"/>
      <c r="G83" s="62"/>
      <c r="H83" s="63" t="str">
        <f>IF(ISBLANK(Table132[[#This Row],[Unit Cost (ex GST)]]),"",IF(ISBLANK(Table132[[#This Row],[Currency]]),"Select Currency",(Table132[[#This Row],[Order Qty]]*Table132[[#This Row],[Unit Cost (ex GST)]])*VLOOKUP(G83,Table35[#All],2,FALSE)))</f>
        <v/>
      </c>
      <c r="I83" s="64" t="str">
        <f>IF(N(Table132[[#This Row],[Order Sub Total '[NZD']]]),Table132[[#This Row],[Order Sub Total '[NZD']]]+(Table132[[#This Row],[Order Sub Total '[NZD']]]*$R$3),"")</f>
        <v/>
      </c>
      <c r="J83" s="65"/>
      <c r="K83" s="65"/>
      <c r="L83" s="65"/>
      <c r="M83" s="23"/>
      <c r="N83" s="23"/>
      <c r="O83" s="23"/>
      <c r="P83" s="23"/>
      <c r="Q83" s="23"/>
      <c r="R83" s="23"/>
      <c r="S83" s="23"/>
      <c r="T83" s="23"/>
      <c r="U83" s="23"/>
      <c r="V83" s="23"/>
    </row>
    <row r="84" spans="2:22" x14ac:dyDescent="0.15">
      <c r="B84" s="60"/>
      <c r="C84" s="60"/>
      <c r="D84" s="61"/>
      <c r="E84" s="60"/>
      <c r="F84" s="62"/>
      <c r="G84" s="62"/>
      <c r="H84" s="63" t="str">
        <f>IF(ISBLANK(Table132[[#This Row],[Unit Cost (ex GST)]]),"",IF(ISBLANK(Table132[[#This Row],[Currency]]),"Select Currency",(Table132[[#This Row],[Order Qty]]*Table132[[#This Row],[Unit Cost (ex GST)]])*VLOOKUP(G84,Table35[#All],2,FALSE)))</f>
        <v/>
      </c>
      <c r="I84" s="64" t="str">
        <f>IF(N(Table132[[#This Row],[Order Sub Total '[NZD']]]),Table132[[#This Row],[Order Sub Total '[NZD']]]+(Table132[[#This Row],[Order Sub Total '[NZD']]]*$R$3),"")</f>
        <v/>
      </c>
      <c r="J84" s="65"/>
      <c r="K84" s="65"/>
      <c r="L84" s="65"/>
      <c r="M84" s="23"/>
      <c r="N84" s="23"/>
      <c r="O84" s="23"/>
      <c r="P84" s="23"/>
      <c r="Q84" s="23"/>
      <c r="R84" s="23"/>
      <c r="S84" s="23"/>
      <c r="T84" s="23"/>
      <c r="U84" s="23"/>
      <c r="V84" s="23"/>
    </row>
    <row r="85" spans="2:22" x14ac:dyDescent="0.15"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</row>
    <row r="86" spans="2:22" x14ac:dyDescent="0.15"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</row>
    <row r="87" spans="2:22" x14ac:dyDescent="0.15"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</row>
    <row r="88" spans="2:22" x14ac:dyDescent="0.15"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</row>
    <row r="89" spans="2:22" x14ac:dyDescent="0.15"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</row>
    <row r="90" spans="2:22" x14ac:dyDescent="0.15"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</row>
    <row r="91" spans="2:22" x14ac:dyDescent="0.15"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</row>
    <row r="92" spans="2:22" x14ac:dyDescent="0.15"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</row>
    <row r="93" spans="2:22" x14ac:dyDescent="0.15"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</row>
    <row r="94" spans="2:22" x14ac:dyDescent="0.15"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</row>
    <row r="95" spans="2:22" x14ac:dyDescent="0.15"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</row>
    <row r="96" spans="2:22" x14ac:dyDescent="0.15"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</row>
    <row r="97" spans="10:22" x14ac:dyDescent="0.15"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</row>
    <row r="98" spans="10:22" x14ac:dyDescent="0.15"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</row>
    <row r="99" spans="10:22" x14ac:dyDescent="0.15"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</row>
    <row r="100" spans="10:22" x14ac:dyDescent="0.15"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</row>
    <row r="101" spans="10:22" x14ac:dyDescent="0.15"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</row>
    <row r="102" spans="10:22" x14ac:dyDescent="0.15"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</row>
    <row r="103" spans="10:22" x14ac:dyDescent="0.15"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</row>
    <row r="104" spans="10:22" x14ac:dyDescent="0.15"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</row>
    <row r="105" spans="10:22" x14ac:dyDescent="0.15"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</row>
    <row r="106" spans="10:22" x14ac:dyDescent="0.15"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</row>
    <row r="107" spans="10:22" x14ac:dyDescent="0.15"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</row>
    <row r="108" spans="10:22" x14ac:dyDescent="0.15"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</row>
    <row r="109" spans="10:22" x14ac:dyDescent="0.15"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</row>
    <row r="110" spans="10:22" x14ac:dyDescent="0.15"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</row>
    <row r="111" spans="10:22" x14ac:dyDescent="0.15"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</row>
    <row r="112" spans="10:22" x14ac:dyDescent="0.15"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</row>
    <row r="113" spans="10:22" x14ac:dyDescent="0.15"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</row>
    <row r="114" spans="10:22" x14ac:dyDescent="0.15"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</row>
    <row r="115" spans="10:22" x14ac:dyDescent="0.15"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</row>
    <row r="116" spans="10:22" x14ac:dyDescent="0.15"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</row>
    <row r="117" spans="10:22" x14ac:dyDescent="0.15"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</row>
    <row r="118" spans="10:22" x14ac:dyDescent="0.15"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</row>
    <row r="119" spans="10:22" x14ac:dyDescent="0.15"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</row>
    <row r="120" spans="10:22" x14ac:dyDescent="0.15"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</row>
    <row r="121" spans="10:22" x14ac:dyDescent="0.15"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</row>
    <row r="122" spans="10:22" x14ac:dyDescent="0.15"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</row>
    <row r="123" spans="10:22" x14ac:dyDescent="0.15"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</row>
    <row r="124" spans="10:22" x14ac:dyDescent="0.15"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</row>
    <row r="125" spans="10:22" x14ac:dyDescent="0.15"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</row>
    <row r="126" spans="10:22" x14ac:dyDescent="0.15"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</row>
    <row r="127" spans="10:22" x14ac:dyDescent="0.15"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</row>
    <row r="128" spans="10:22" x14ac:dyDescent="0.15"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</row>
    <row r="129" spans="10:22" x14ac:dyDescent="0.15"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</row>
    <row r="130" spans="10:22" x14ac:dyDescent="0.15"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</row>
    <row r="131" spans="10:22" x14ac:dyDescent="0.15"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</row>
    <row r="132" spans="10:22" x14ac:dyDescent="0.15"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</row>
    <row r="133" spans="10:22" x14ac:dyDescent="0.15"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</row>
    <row r="134" spans="10:22" x14ac:dyDescent="0.15"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</row>
    <row r="135" spans="10:22" x14ac:dyDescent="0.15"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</row>
    <row r="136" spans="10:22" x14ac:dyDescent="0.15"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</row>
    <row r="137" spans="10:22" x14ac:dyDescent="0.15"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</row>
    <row r="138" spans="10:22" x14ac:dyDescent="0.15"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</row>
    <row r="139" spans="10:22" x14ac:dyDescent="0.15"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</row>
    <row r="140" spans="10:22" x14ac:dyDescent="0.15"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</row>
    <row r="141" spans="10:22" x14ac:dyDescent="0.15"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</row>
    <row r="142" spans="10:22" x14ac:dyDescent="0.15"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</row>
    <row r="143" spans="10:22" x14ac:dyDescent="0.15"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</row>
    <row r="144" spans="10:22" x14ac:dyDescent="0.15"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</row>
    <row r="145" spans="10:22" x14ac:dyDescent="0.15"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</row>
    <row r="146" spans="10:22" x14ac:dyDescent="0.15"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</row>
    <row r="147" spans="10:22" x14ac:dyDescent="0.15"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</row>
    <row r="148" spans="10:22" x14ac:dyDescent="0.15"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</row>
    <row r="149" spans="10:22" x14ac:dyDescent="0.15"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</row>
    <row r="150" spans="10:22" x14ac:dyDescent="0.15"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</row>
    <row r="151" spans="10:22" x14ac:dyDescent="0.15"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</row>
    <row r="152" spans="10:22" x14ac:dyDescent="0.15"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</row>
    <row r="153" spans="10:22" x14ac:dyDescent="0.15"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</row>
    <row r="154" spans="10:22" x14ac:dyDescent="0.15"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</row>
    <row r="155" spans="10:22" x14ac:dyDescent="0.15"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</row>
    <row r="156" spans="10:22" x14ac:dyDescent="0.15"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</row>
    <row r="157" spans="10:22" x14ac:dyDescent="0.15"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</row>
    <row r="158" spans="10:22" x14ac:dyDescent="0.15"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</row>
    <row r="159" spans="10:22" x14ac:dyDescent="0.15"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</row>
    <row r="160" spans="10:22" x14ac:dyDescent="0.15"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</row>
    <row r="161" spans="10:22" x14ac:dyDescent="0.15"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</row>
    <row r="162" spans="10:22" x14ac:dyDescent="0.15"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</row>
    <row r="163" spans="10:22" x14ac:dyDescent="0.15"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</row>
    <row r="164" spans="10:22" x14ac:dyDescent="0.15"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</row>
  </sheetData>
  <sheetProtection selectLockedCells="1"/>
  <mergeCells count="3">
    <mergeCell ref="C3:D3"/>
    <mergeCell ref="C4:D4"/>
    <mergeCell ref="C5:D5"/>
  </mergeCells>
  <conditionalFormatting sqref="J43:J45 Q3 J10 N2:N8 Q5">
    <cfRule type="containsText" dxfId="53" priority="37" operator="containsText" text="To be Approved">
      <formula>NOT(ISERROR(SEARCH("To be Approved",J2)))</formula>
    </cfRule>
  </conditionalFormatting>
  <conditionalFormatting sqref="H11:H84">
    <cfRule type="containsText" dxfId="52" priority="36" operator="containsText" text="Select Currency">
      <formula>NOT(ISERROR(SEARCH("Select Currency",H11)))</formula>
    </cfRule>
  </conditionalFormatting>
  <conditionalFormatting sqref="O5:O8">
    <cfRule type="containsText" dxfId="51" priority="24" operator="containsText" text="To be Approved">
      <formula>NOT(ISERROR(SEARCH("To be Approved",O5)))</formula>
    </cfRule>
  </conditionalFormatting>
  <conditionalFormatting sqref="I4">
    <cfRule type="cellIs" dxfId="50" priority="23" operator="lessThan">
      <formula>0</formula>
    </cfRule>
  </conditionalFormatting>
  <conditionalFormatting sqref="J11:K84">
    <cfRule type="cellIs" dxfId="49" priority="15" operator="equal">
      <formula>"Ordered"</formula>
    </cfRule>
    <cfRule type="containsText" dxfId="48" priority="16" operator="containsText" text="To be Approved">
      <formula>NOT(ISERROR(SEARCH("To be Approved",J11)))</formula>
    </cfRule>
    <cfRule type="containsText" dxfId="47" priority="17" operator="containsText" text="Received">
      <formula>NOT(ISERROR(SEARCH("Received",J11)))</formula>
    </cfRule>
    <cfRule type="cellIs" dxfId="46" priority="18" operator="equal">
      <formula>"Quoted"</formula>
    </cfRule>
    <cfRule type="containsText" dxfId="45" priority="19" operator="containsText" text="Estimate">
      <formula>NOT(ISERROR(SEARCH("Estimate",J11)))</formula>
    </cfRule>
    <cfRule type="containsText" dxfId="44" priority="20" operator="containsText" text="Received">
      <formula>NOT(ISERROR(SEARCH("Received",J11)))</formula>
    </cfRule>
    <cfRule type="containsText" dxfId="43" priority="21" operator="containsText" text="Confirmed">
      <formula>NOT(ISERROR(SEARCH("Confirmed",J11)))</formula>
    </cfRule>
  </conditionalFormatting>
  <conditionalFormatting sqref="Q8:Q10">
    <cfRule type="containsText" dxfId="42" priority="13" operator="containsText" text="Ordered">
      <formula>NOT(ISERROR(SEARCH("Ordered",Q8)))</formula>
    </cfRule>
    <cfRule type="containsText" dxfId="41" priority="14" operator="containsText" text="Received">
      <formula>NOT(ISERROR(SEARCH("Received",Q8)))</formula>
    </cfRule>
  </conditionalFormatting>
  <conditionalFormatting sqref="Q8:Q10">
    <cfRule type="containsText" dxfId="40" priority="12" operator="containsText" text="To be Approved">
      <formula>NOT(ISERROR(SEARCH("To be Approved",Q8)))</formula>
    </cfRule>
  </conditionalFormatting>
  <conditionalFormatting sqref="Q9">
    <cfRule type="containsText" dxfId="39" priority="10" operator="containsText" text="Ordered">
      <formula>NOT(ISERROR(SEARCH("Ordered",Q9)))</formula>
    </cfRule>
    <cfRule type="containsText" dxfId="38" priority="11" operator="containsText" text="Received">
      <formula>NOT(ISERROR(SEARCH("Received",Q9)))</formula>
    </cfRule>
  </conditionalFormatting>
  <conditionalFormatting sqref="Q9">
    <cfRule type="containsText" dxfId="37" priority="9" operator="containsText" text="To be Approved">
      <formula>NOT(ISERROR(SEARCH("To be Approved",Q9)))</formula>
    </cfRule>
  </conditionalFormatting>
  <conditionalFormatting sqref="Q8">
    <cfRule type="containsText" dxfId="36" priority="7" operator="containsText" text="Ordered">
      <formula>NOT(ISERROR(SEARCH("Ordered",Q8)))</formula>
    </cfRule>
    <cfRule type="containsText" dxfId="35" priority="8" operator="containsText" text="Received">
      <formula>NOT(ISERROR(SEARCH("Received",Q8)))</formula>
    </cfRule>
  </conditionalFormatting>
  <conditionalFormatting sqref="Q8">
    <cfRule type="containsText" dxfId="34" priority="6" operator="containsText" text="To be Approved">
      <formula>NOT(ISERROR(SEARCH("To be Approved",Q8)))</formula>
    </cfRule>
  </conditionalFormatting>
  <conditionalFormatting sqref="Q10">
    <cfRule type="containsText" dxfId="33" priority="4" operator="containsText" text="Ordered">
      <formula>NOT(ISERROR(SEARCH("Ordered",Q10)))</formula>
    </cfRule>
    <cfRule type="containsText" dxfId="32" priority="5" operator="containsText" text="Received">
      <formula>NOT(ISERROR(SEARCH("Received",Q10)))</formula>
    </cfRule>
  </conditionalFormatting>
  <conditionalFormatting sqref="Q10">
    <cfRule type="containsText" dxfId="31" priority="3" operator="containsText" text="To be Approved">
      <formula>NOT(ISERROR(SEARCH("To be Approved",Q10)))</formula>
    </cfRule>
  </conditionalFormatting>
  <conditionalFormatting sqref="Q8">
    <cfRule type="containsText" dxfId="30" priority="1" operator="containsText" text="Ordered">
      <formula>NOT(ISERROR(SEARCH("Ordered",Q8)))</formula>
    </cfRule>
    <cfRule type="containsText" dxfId="29" priority="2" operator="containsText" text="Received">
      <formula>NOT(ISERROR(SEARCH("Received",Q8)))</formula>
    </cfRule>
  </conditionalFormatting>
  <dataValidations count="3">
    <dataValidation type="list" allowBlank="1" showInputMessage="1" showErrorMessage="1" sqref="G25:G34 G11:G23" xr:uid="{E7419856-BD4E-4D32-9F01-55D9C05779F1}">
      <formula1>$N$4:$N$8</formula1>
    </dataValidation>
    <dataValidation type="list" allowBlank="1" showInputMessage="1" showErrorMessage="1" sqref="K11:K84" xr:uid="{6E52BF49-13E2-48CF-B6DF-1AD0B77B90AD}">
      <formula1>$Q$6:$Q$7</formula1>
    </dataValidation>
    <dataValidation type="list" allowBlank="1" showInputMessage="1" showErrorMessage="1" sqref="J11:J84" xr:uid="{C7B4F466-8AE3-47F4-871B-BA05EDDD515C}">
      <formula1>$Q$8:$Q$10</formula1>
    </dataValidation>
  </dataValidations>
  <pageMargins left="0.23622047244094491" right="0.23622047244094491" top="0.74803149606299213" bottom="0.74803149606299213" header="0.31496062992125984" footer="0.31496062992125984"/>
  <pageSetup paperSize="9" scale="68" orientation="landscape" r:id="rId1"/>
  <headerFooter>
    <oddHeader>&amp;L&amp;D</oddHeader>
  </headerFooter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0A2511-9CB1-4BA3-B738-DA82363C95AF}">
  <sheetPr>
    <tabColor rgb="FF92D050"/>
  </sheetPr>
  <dimension ref="A1:K149"/>
  <sheetViews>
    <sheetView workbookViewId="0">
      <selection activeCell="B64" sqref="B64"/>
    </sheetView>
  </sheetViews>
  <sheetFormatPr baseColWidth="10" defaultColWidth="8.83203125" defaultRowHeight="13" x14ac:dyDescent="0.15"/>
  <cols>
    <col min="1" max="1" width="27.5" bestFit="1" customWidth="1"/>
    <col min="2" max="2" width="31.5" bestFit="1" customWidth="1"/>
    <col min="3" max="3" width="66.5" bestFit="1" customWidth="1"/>
    <col min="4" max="4" width="13.5" bestFit="1" customWidth="1"/>
    <col min="5" max="5" width="15.83203125" bestFit="1" customWidth="1"/>
    <col min="6" max="6" width="17" bestFit="1" customWidth="1"/>
    <col min="7" max="7" width="16.83203125" bestFit="1" customWidth="1"/>
    <col min="8" max="8" width="35.6640625" bestFit="1" customWidth="1"/>
    <col min="9" max="9" width="16.5" bestFit="1" customWidth="1"/>
    <col min="10" max="10" width="14" bestFit="1" customWidth="1"/>
    <col min="11" max="11" width="66.5" bestFit="1" customWidth="1"/>
  </cols>
  <sheetData>
    <row r="1" spans="1:11" x14ac:dyDescent="0.15">
      <c r="A1"/>
      <c r="B1"/>
      <c r="C1"/>
      <c r="D1"/>
      <c r="E1"/>
      <c r="F1"/>
      <c r="G1"/>
      <c r="H1"/>
      <c r="I1"/>
      <c r="J1"/>
      <c r="K1"/>
    </row>
    <row r="2" spans="1:11" x14ac:dyDescent="0.15">
      <c r="A2" s="14"/>
      <c r="B2" s="14"/>
      <c r="C2" s="14"/>
      <c r="D2" s="15"/>
      <c r="E2" s="14"/>
      <c r="F2" s="14"/>
      <c r="G2" s="14"/>
      <c r="H2" s="14"/>
      <c r="K2" s="14"/>
    </row>
    <row r="3" spans="1:11" x14ac:dyDescent="0.15">
      <c r="A3" s="14"/>
      <c r="B3" s="14"/>
      <c r="C3" s="14"/>
      <c r="D3" s="15"/>
      <c r="E3" s="14"/>
      <c r="F3" s="14"/>
      <c r="G3" s="14"/>
      <c r="H3" s="14"/>
      <c r="K3" s="14"/>
    </row>
    <row r="4" spans="1:11" x14ac:dyDescent="0.15">
      <c r="A4" s="14"/>
      <c r="B4" s="14"/>
      <c r="C4" s="14"/>
      <c r="D4" s="15"/>
      <c r="E4" s="14"/>
      <c r="F4" s="14"/>
      <c r="G4" s="14"/>
      <c r="H4" s="14"/>
      <c r="K4" s="14"/>
    </row>
    <row r="5" spans="1:11" x14ac:dyDescent="0.15">
      <c r="A5" s="14"/>
      <c r="B5" s="14"/>
      <c r="C5" s="14"/>
      <c r="D5" s="15"/>
      <c r="E5" s="14"/>
      <c r="F5" s="14"/>
      <c r="G5" s="14"/>
      <c r="H5" s="14"/>
      <c r="K5" s="14"/>
    </row>
    <row r="6" spans="1:11" x14ac:dyDescent="0.15">
      <c r="A6" s="14"/>
      <c r="B6" s="14"/>
      <c r="C6" s="14"/>
      <c r="D6" s="15"/>
      <c r="E6" s="14"/>
      <c r="F6" s="14"/>
      <c r="G6" s="14"/>
      <c r="H6" s="14"/>
      <c r="K6" s="14"/>
    </row>
    <row r="7" spans="1:11" x14ac:dyDescent="0.15">
      <c r="A7" s="14"/>
      <c r="B7" s="14"/>
      <c r="C7" s="14"/>
      <c r="D7" s="15"/>
      <c r="E7" s="14"/>
      <c r="F7" s="14"/>
      <c r="G7" s="14"/>
      <c r="H7" s="14"/>
      <c r="K7" s="14"/>
    </row>
    <row r="8" spans="1:11" x14ac:dyDescent="0.15">
      <c r="A8" s="14"/>
      <c r="B8" s="14"/>
      <c r="C8" s="14"/>
      <c r="D8" s="15"/>
      <c r="E8" s="14"/>
      <c r="F8" s="14"/>
      <c r="G8" s="14"/>
      <c r="H8" s="14"/>
      <c r="K8" s="14"/>
    </row>
    <row r="9" spans="1:11" x14ac:dyDescent="0.15">
      <c r="A9" s="14"/>
      <c r="B9" s="14"/>
      <c r="C9" s="14"/>
      <c r="D9" s="15"/>
      <c r="E9" s="14"/>
      <c r="F9" s="14"/>
      <c r="G9" s="14"/>
      <c r="H9" s="14"/>
      <c r="K9" s="14"/>
    </row>
    <row r="10" spans="1:11" x14ac:dyDescent="0.15">
      <c r="A10" s="14"/>
      <c r="B10" s="14"/>
      <c r="C10" s="14"/>
      <c r="D10" s="15"/>
      <c r="E10" s="14"/>
      <c r="F10" s="14"/>
      <c r="G10" s="14"/>
      <c r="H10" s="14"/>
      <c r="K10" s="14"/>
    </row>
    <row r="11" spans="1:11" x14ac:dyDescent="0.15">
      <c r="A11" s="14"/>
      <c r="B11" s="14"/>
      <c r="C11" s="14"/>
      <c r="D11" s="15"/>
      <c r="E11" s="14"/>
      <c r="F11" s="14"/>
      <c r="G11" s="14"/>
      <c r="H11" s="14"/>
      <c r="K11" s="14"/>
    </row>
    <row r="12" spans="1:11" x14ac:dyDescent="0.15">
      <c r="A12" s="14"/>
      <c r="B12" s="14"/>
      <c r="C12" s="14"/>
      <c r="D12" s="15"/>
      <c r="E12" s="14"/>
      <c r="F12" s="14"/>
      <c r="G12" s="14"/>
      <c r="H12" s="14"/>
      <c r="K12" s="14"/>
    </row>
    <row r="13" spans="1:11" x14ac:dyDescent="0.15">
      <c r="A13" s="14"/>
      <c r="B13" s="14"/>
      <c r="C13" s="14"/>
      <c r="D13" s="15"/>
      <c r="E13" s="14"/>
      <c r="F13" s="14"/>
      <c r="G13" s="14"/>
      <c r="H13" s="14"/>
      <c r="K13" s="14"/>
    </row>
    <row r="14" spans="1:11" x14ac:dyDescent="0.15">
      <c r="A14" s="14"/>
      <c r="B14" s="14"/>
      <c r="C14" s="14"/>
      <c r="D14" s="15"/>
      <c r="E14" s="14"/>
      <c r="F14" s="14"/>
      <c r="G14" s="14"/>
      <c r="H14" s="14"/>
      <c r="K14" s="14"/>
    </row>
    <row r="15" spans="1:11" x14ac:dyDescent="0.15">
      <c r="A15" s="14"/>
      <c r="B15" s="14"/>
      <c r="C15" s="14"/>
      <c r="D15" s="15"/>
      <c r="E15" s="14"/>
      <c r="F15" s="14"/>
      <c r="G15" s="14"/>
      <c r="H15" s="14"/>
      <c r="K15" s="14"/>
    </row>
    <row r="16" spans="1:11" x14ac:dyDescent="0.15">
      <c r="A16" s="14"/>
      <c r="B16" s="14"/>
      <c r="C16" s="14"/>
      <c r="D16" s="15"/>
      <c r="E16" s="14"/>
      <c r="F16" s="14"/>
      <c r="G16" s="14"/>
      <c r="H16" s="14"/>
      <c r="K16" s="14"/>
    </row>
    <row r="17" spans="1:11" x14ac:dyDescent="0.15">
      <c r="A17" s="14"/>
      <c r="B17" s="14"/>
      <c r="C17" s="14"/>
      <c r="D17" s="15"/>
      <c r="E17" s="14"/>
      <c r="F17" s="14"/>
      <c r="G17" s="14"/>
      <c r="H17" s="14"/>
      <c r="K17" s="14"/>
    </row>
    <row r="18" spans="1:11" x14ac:dyDescent="0.15">
      <c r="A18" s="14"/>
      <c r="B18" s="14"/>
      <c r="C18" s="14"/>
      <c r="D18" s="15"/>
      <c r="E18" s="14"/>
      <c r="F18" s="14"/>
      <c r="G18" s="14"/>
      <c r="H18" s="14"/>
      <c r="K18" s="14"/>
    </row>
    <row r="19" spans="1:11" x14ac:dyDescent="0.15">
      <c r="A19" s="14"/>
      <c r="B19" s="14"/>
      <c r="C19" s="14"/>
      <c r="D19" s="15"/>
      <c r="E19" s="14"/>
      <c r="F19" s="14"/>
      <c r="G19" s="14"/>
      <c r="H19" s="14"/>
      <c r="K19" s="14"/>
    </row>
    <row r="20" spans="1:11" x14ac:dyDescent="0.15">
      <c r="A20" s="14"/>
      <c r="B20" s="14"/>
      <c r="C20" s="14"/>
      <c r="D20" s="15"/>
      <c r="E20" s="14"/>
      <c r="F20" s="14"/>
      <c r="G20" s="14"/>
      <c r="H20" s="14"/>
      <c r="K20" s="14"/>
    </row>
    <row r="21" spans="1:11" x14ac:dyDescent="0.15">
      <c r="A21" s="14"/>
      <c r="B21" s="14"/>
      <c r="C21" s="14"/>
      <c r="D21" s="15"/>
      <c r="E21" s="14"/>
      <c r="F21" s="14"/>
      <c r="G21" s="14"/>
      <c r="H21" s="14"/>
      <c r="K21" s="14"/>
    </row>
    <row r="22" spans="1:11" x14ac:dyDescent="0.15">
      <c r="A22" s="14"/>
      <c r="B22" s="14"/>
      <c r="C22" s="14"/>
      <c r="D22" s="15"/>
      <c r="E22" s="14"/>
      <c r="F22" s="14"/>
      <c r="G22" s="14"/>
      <c r="H22" s="14"/>
      <c r="K22" s="14"/>
    </row>
    <row r="23" spans="1:11" x14ac:dyDescent="0.15">
      <c r="A23" s="14"/>
      <c r="B23" s="14"/>
      <c r="C23" s="14"/>
      <c r="D23" s="15"/>
      <c r="E23" s="14"/>
      <c r="F23" s="14"/>
      <c r="G23" s="14"/>
      <c r="H23" s="14"/>
      <c r="K23" s="14"/>
    </row>
    <row r="24" spans="1:11" x14ac:dyDescent="0.15">
      <c r="A24" s="14"/>
      <c r="B24" s="14"/>
      <c r="C24" s="14"/>
      <c r="D24" s="15"/>
      <c r="E24" s="14"/>
      <c r="F24" s="14"/>
      <c r="G24" s="14"/>
      <c r="H24" s="14"/>
      <c r="K24" s="14"/>
    </row>
    <row r="25" spans="1:11" x14ac:dyDescent="0.15">
      <c r="A25" s="14"/>
      <c r="B25" s="14"/>
      <c r="C25" s="14"/>
      <c r="D25" s="15"/>
      <c r="E25" s="14"/>
      <c r="F25" s="14"/>
      <c r="G25" s="14"/>
      <c r="H25" s="14"/>
      <c r="K25" s="14"/>
    </row>
    <row r="26" spans="1:11" x14ac:dyDescent="0.15">
      <c r="A26" s="14"/>
      <c r="B26" s="14"/>
      <c r="C26" s="14"/>
      <c r="D26" s="15"/>
      <c r="E26" s="14"/>
      <c r="F26" s="14"/>
      <c r="G26" s="14"/>
      <c r="H26" s="14"/>
      <c r="K26" s="14"/>
    </row>
    <row r="27" spans="1:11" x14ac:dyDescent="0.15">
      <c r="A27" s="14"/>
      <c r="B27" s="14"/>
      <c r="C27" s="14"/>
      <c r="D27" s="15"/>
      <c r="E27" s="14"/>
      <c r="F27" s="14"/>
      <c r="G27" s="14"/>
      <c r="H27" s="14"/>
      <c r="K27" s="14"/>
    </row>
    <row r="28" spans="1:11" x14ac:dyDescent="0.15">
      <c r="A28" s="14"/>
      <c r="B28" s="14"/>
      <c r="C28" s="14"/>
      <c r="D28" s="15"/>
      <c r="E28" s="14"/>
      <c r="F28" s="14"/>
      <c r="G28" s="14"/>
      <c r="H28" s="14"/>
      <c r="K28" s="14"/>
    </row>
    <row r="29" spans="1:11" x14ac:dyDescent="0.15">
      <c r="A29" s="14"/>
      <c r="B29" s="14"/>
      <c r="C29" s="14"/>
      <c r="D29" s="15"/>
      <c r="E29" s="14"/>
      <c r="F29" s="14"/>
      <c r="G29" s="14"/>
      <c r="H29" s="14"/>
      <c r="K29" s="14"/>
    </row>
    <row r="30" spans="1:11" x14ac:dyDescent="0.15">
      <c r="A30" s="14"/>
      <c r="B30" s="14"/>
      <c r="C30" s="14"/>
      <c r="D30" s="15"/>
      <c r="E30" s="14"/>
      <c r="F30" s="14"/>
      <c r="G30" s="14"/>
      <c r="H30" s="14"/>
      <c r="K30" s="14"/>
    </row>
    <row r="31" spans="1:11" x14ac:dyDescent="0.15">
      <c r="A31" s="14"/>
      <c r="B31" s="14"/>
      <c r="C31" s="14"/>
      <c r="D31" s="15"/>
      <c r="E31" s="14"/>
      <c r="F31" s="14"/>
      <c r="G31" s="14"/>
      <c r="H31" s="14"/>
      <c r="K31" s="14"/>
    </row>
    <row r="32" spans="1:11" x14ac:dyDescent="0.15">
      <c r="A32" s="14"/>
      <c r="B32" s="14"/>
      <c r="C32" s="14"/>
      <c r="D32" s="15"/>
      <c r="E32" s="14"/>
      <c r="F32" s="14"/>
      <c r="G32" s="14"/>
      <c r="H32" s="14"/>
      <c r="K32" s="14"/>
    </row>
    <row r="33" spans="1:11" x14ac:dyDescent="0.15">
      <c r="A33" s="14"/>
      <c r="B33" s="14"/>
      <c r="C33" s="14"/>
      <c r="D33" s="15"/>
      <c r="E33" s="14"/>
      <c r="F33" s="14"/>
      <c r="G33" s="14"/>
      <c r="H33" s="14"/>
      <c r="K33" s="14"/>
    </row>
    <row r="34" spans="1:11" x14ac:dyDescent="0.15">
      <c r="A34" s="14"/>
      <c r="B34" s="14"/>
      <c r="C34" s="14"/>
      <c r="D34" s="15"/>
      <c r="E34" s="14"/>
      <c r="F34" s="14"/>
      <c r="G34" s="14"/>
      <c r="H34" s="14"/>
      <c r="K34" s="14"/>
    </row>
    <row r="35" spans="1:11" x14ac:dyDescent="0.15">
      <c r="A35" s="14"/>
      <c r="B35" s="14"/>
      <c r="C35" s="14"/>
      <c r="D35" s="15"/>
      <c r="E35" s="14"/>
      <c r="F35" s="14"/>
      <c r="G35" s="14"/>
      <c r="H35" s="14"/>
      <c r="K35" s="14"/>
    </row>
    <row r="36" spans="1:11" x14ac:dyDescent="0.15">
      <c r="A36" s="14"/>
      <c r="B36" s="14"/>
      <c r="C36" s="14"/>
      <c r="D36" s="15"/>
      <c r="E36" s="14"/>
      <c r="F36" s="14"/>
      <c r="G36" s="14"/>
      <c r="H36" s="14"/>
      <c r="K36" s="14"/>
    </row>
    <row r="37" spans="1:11" x14ac:dyDescent="0.15">
      <c r="A37" s="14"/>
      <c r="B37" s="14"/>
      <c r="C37" s="14"/>
      <c r="D37" s="15"/>
      <c r="E37" s="14"/>
      <c r="F37" s="14"/>
      <c r="G37" s="14"/>
      <c r="H37" s="14"/>
      <c r="K37" s="14"/>
    </row>
    <row r="38" spans="1:11" x14ac:dyDescent="0.15">
      <c r="A38" s="14"/>
      <c r="B38" s="14"/>
      <c r="C38" s="14"/>
      <c r="D38" s="15"/>
      <c r="E38" s="14"/>
      <c r="F38" s="14"/>
      <c r="G38" s="14"/>
      <c r="H38" s="14"/>
      <c r="K38" s="14"/>
    </row>
    <row r="39" spans="1:11" x14ac:dyDescent="0.15">
      <c r="A39" s="14"/>
      <c r="B39" s="14"/>
      <c r="C39" s="14"/>
      <c r="D39" s="15"/>
      <c r="E39" s="14"/>
      <c r="F39" s="14"/>
      <c r="G39" s="14"/>
      <c r="H39" s="14"/>
      <c r="K39" s="14"/>
    </row>
    <row r="40" spans="1:11" x14ac:dyDescent="0.15">
      <c r="A40" s="14"/>
      <c r="B40" s="14"/>
      <c r="C40" s="14"/>
      <c r="D40" s="15"/>
      <c r="E40" s="14"/>
      <c r="F40" s="14"/>
      <c r="G40" s="14"/>
      <c r="H40" s="14"/>
      <c r="K40" s="14"/>
    </row>
    <row r="41" spans="1:11" x14ac:dyDescent="0.15">
      <c r="A41" s="14"/>
      <c r="B41" s="14"/>
      <c r="C41" s="14"/>
      <c r="D41" s="15"/>
      <c r="E41" s="14"/>
      <c r="F41" s="14"/>
      <c r="G41" s="14"/>
      <c r="H41" s="14"/>
      <c r="K41" s="14"/>
    </row>
    <row r="42" spans="1:11" x14ac:dyDescent="0.15">
      <c r="A42" s="14"/>
      <c r="B42" s="14"/>
      <c r="C42" s="14"/>
      <c r="D42" s="15"/>
      <c r="E42" s="14"/>
      <c r="F42" s="14"/>
      <c r="G42" s="14"/>
      <c r="H42" s="14"/>
      <c r="K42" s="14"/>
    </row>
    <row r="43" spans="1:11" x14ac:dyDescent="0.15">
      <c r="A43" s="14"/>
      <c r="B43" s="14"/>
      <c r="C43" s="14"/>
      <c r="D43" s="15"/>
      <c r="E43" s="14"/>
      <c r="F43" s="14"/>
      <c r="G43" s="14"/>
      <c r="H43" s="14"/>
      <c r="K43" s="14"/>
    </row>
    <row r="44" spans="1:11" x14ac:dyDescent="0.15">
      <c r="A44" s="14"/>
      <c r="B44" s="14"/>
      <c r="C44" s="14"/>
      <c r="D44" s="15"/>
      <c r="E44" s="14"/>
      <c r="F44" s="14"/>
      <c r="G44" s="14"/>
      <c r="H44" s="14"/>
      <c r="K44" s="14"/>
    </row>
    <row r="45" spans="1:11" x14ac:dyDescent="0.15">
      <c r="A45" s="14"/>
      <c r="B45" s="14"/>
      <c r="C45" s="14"/>
      <c r="D45" s="15"/>
      <c r="E45" s="14"/>
      <c r="F45" s="14"/>
      <c r="G45" s="14"/>
      <c r="H45" s="14"/>
      <c r="K45" s="14"/>
    </row>
    <row r="46" spans="1:11" x14ac:dyDescent="0.15">
      <c r="A46" s="14"/>
      <c r="B46" s="14"/>
      <c r="C46" s="14"/>
      <c r="D46" s="15"/>
      <c r="E46" s="14"/>
      <c r="F46" s="14"/>
      <c r="G46" s="14"/>
      <c r="H46" s="14"/>
      <c r="K46" s="14"/>
    </row>
    <row r="47" spans="1:11" x14ac:dyDescent="0.15">
      <c r="A47" s="14"/>
      <c r="B47" s="14"/>
      <c r="C47" s="14"/>
      <c r="D47" s="15"/>
      <c r="E47" s="14"/>
      <c r="F47" s="14"/>
      <c r="G47" s="14"/>
      <c r="H47" s="14"/>
      <c r="K47" s="14"/>
    </row>
    <row r="48" spans="1:11" x14ac:dyDescent="0.15">
      <c r="A48" s="14"/>
      <c r="B48" s="14"/>
      <c r="C48" s="14"/>
      <c r="D48" s="15"/>
      <c r="E48" s="14"/>
      <c r="F48" s="14"/>
      <c r="G48" s="14"/>
      <c r="H48" s="14"/>
      <c r="K48" s="14"/>
    </row>
    <row r="49" spans="1:11" x14ac:dyDescent="0.15">
      <c r="A49" s="14"/>
      <c r="B49" s="14"/>
      <c r="C49" s="14"/>
      <c r="D49" s="15"/>
      <c r="E49" s="14"/>
      <c r="F49" s="14"/>
      <c r="G49" s="14"/>
      <c r="H49" s="14"/>
      <c r="K49" s="14"/>
    </row>
    <row r="50" spans="1:11" x14ac:dyDescent="0.15">
      <c r="A50" s="14"/>
      <c r="B50" s="14"/>
      <c r="C50" s="14"/>
      <c r="D50" s="15"/>
      <c r="E50" s="14"/>
      <c r="F50" s="14"/>
      <c r="G50" s="14"/>
      <c r="H50" s="14"/>
      <c r="K50" s="14"/>
    </row>
    <row r="51" spans="1:11" x14ac:dyDescent="0.15">
      <c r="A51" s="14"/>
      <c r="B51" s="14"/>
      <c r="C51" s="14"/>
      <c r="D51" s="15"/>
      <c r="E51" s="14"/>
      <c r="F51" s="14"/>
      <c r="G51" s="14"/>
      <c r="H51" s="14"/>
      <c r="K51" s="14"/>
    </row>
    <row r="52" spans="1:11" x14ac:dyDescent="0.15">
      <c r="A52" s="14"/>
      <c r="B52" s="14"/>
      <c r="C52" s="14"/>
      <c r="D52" s="15"/>
      <c r="E52" s="14"/>
      <c r="F52" s="14"/>
      <c r="G52" s="14"/>
      <c r="H52" s="14"/>
      <c r="K52" s="14"/>
    </row>
    <row r="53" spans="1:11" x14ac:dyDescent="0.15">
      <c r="A53" s="14"/>
      <c r="B53" s="14"/>
      <c r="C53" s="14"/>
      <c r="D53" s="15"/>
      <c r="E53" s="14"/>
      <c r="F53" s="14"/>
      <c r="G53" s="14"/>
      <c r="H53" s="14"/>
      <c r="K53" s="14"/>
    </row>
    <row r="54" spans="1:11" x14ac:dyDescent="0.15">
      <c r="A54" s="14"/>
      <c r="B54" s="14"/>
      <c r="C54" s="14"/>
      <c r="D54" s="15"/>
      <c r="E54" s="14"/>
      <c r="F54" s="14"/>
      <c r="G54" s="14"/>
      <c r="H54" s="14"/>
      <c r="K54" s="14"/>
    </row>
    <row r="55" spans="1:11" x14ac:dyDescent="0.15">
      <c r="A55" s="14"/>
      <c r="B55" s="14"/>
      <c r="C55" s="14"/>
      <c r="D55" s="15"/>
      <c r="E55" s="14"/>
      <c r="F55" s="14"/>
      <c r="G55" s="14"/>
      <c r="H55" s="14"/>
      <c r="K55" s="14"/>
    </row>
    <row r="56" spans="1:11" x14ac:dyDescent="0.15">
      <c r="A56" s="14"/>
      <c r="B56" s="14"/>
      <c r="C56" s="14"/>
      <c r="D56" s="15"/>
      <c r="E56" s="14"/>
      <c r="F56" s="14"/>
      <c r="G56" s="14"/>
      <c r="H56" s="14"/>
      <c r="K56" s="14"/>
    </row>
    <row r="57" spans="1:11" x14ac:dyDescent="0.15">
      <c r="A57" s="14"/>
      <c r="B57" s="14"/>
      <c r="C57" s="14"/>
      <c r="D57" s="15"/>
      <c r="E57" s="14"/>
      <c r="F57" s="14"/>
      <c r="G57" s="14"/>
      <c r="H57" s="14"/>
      <c r="K57" s="14"/>
    </row>
    <row r="58" spans="1:11" x14ac:dyDescent="0.15">
      <c r="A58" s="14"/>
      <c r="B58" s="14"/>
      <c r="C58" s="14"/>
      <c r="D58" s="15"/>
      <c r="E58" s="14"/>
      <c r="F58" s="14"/>
      <c r="G58" s="14"/>
      <c r="H58" s="14"/>
      <c r="K58" s="14"/>
    </row>
    <row r="59" spans="1:11" x14ac:dyDescent="0.15">
      <c r="A59" s="14"/>
      <c r="B59" s="14"/>
      <c r="C59" s="14"/>
      <c r="D59" s="15"/>
      <c r="E59" s="14"/>
      <c r="F59" s="14"/>
      <c r="G59" s="14"/>
      <c r="H59" s="14"/>
      <c r="K59" s="14"/>
    </row>
    <row r="60" spans="1:11" x14ac:dyDescent="0.15">
      <c r="A60" s="14"/>
      <c r="B60" s="14"/>
      <c r="C60" s="14"/>
      <c r="D60" s="15"/>
      <c r="E60" s="14"/>
      <c r="F60" s="14"/>
      <c r="G60" s="14"/>
      <c r="H60" s="14"/>
      <c r="K60" s="14"/>
    </row>
    <row r="61" spans="1:11" x14ac:dyDescent="0.15">
      <c r="A61" s="14"/>
      <c r="B61" s="14"/>
      <c r="C61" s="14"/>
      <c r="D61" s="15"/>
      <c r="E61" s="14"/>
      <c r="F61" s="14"/>
      <c r="G61" s="14"/>
      <c r="H61" s="14"/>
      <c r="K61" s="14"/>
    </row>
    <row r="62" spans="1:11" x14ac:dyDescent="0.15">
      <c r="A62" s="14"/>
      <c r="B62" s="14"/>
      <c r="C62" s="14"/>
      <c r="D62" s="15"/>
      <c r="E62" s="14"/>
      <c r="F62" s="14"/>
      <c r="G62" s="14"/>
      <c r="H62" s="14"/>
      <c r="K62" s="14"/>
    </row>
    <row r="63" spans="1:11" x14ac:dyDescent="0.15">
      <c r="A63" s="14"/>
      <c r="B63" s="14"/>
      <c r="C63" s="14"/>
      <c r="D63" s="15"/>
      <c r="E63" s="14"/>
      <c r="F63" s="14"/>
      <c r="G63" s="14"/>
      <c r="H63" s="14"/>
      <c r="K63" s="14"/>
    </row>
    <row r="64" spans="1:11" x14ac:dyDescent="0.15">
      <c r="A64" s="14"/>
      <c r="B64" s="14"/>
      <c r="C64" s="14"/>
      <c r="D64" s="15"/>
      <c r="E64" s="14"/>
      <c r="F64" s="14"/>
      <c r="G64" s="14"/>
      <c r="H64" s="14"/>
      <c r="K64" s="14"/>
    </row>
    <row r="65" spans="1:11" x14ac:dyDescent="0.15">
      <c r="A65" s="14"/>
      <c r="B65" s="14"/>
      <c r="C65" s="14"/>
      <c r="D65" s="15"/>
      <c r="E65" s="14"/>
      <c r="F65" s="14"/>
      <c r="G65" s="14"/>
      <c r="H65" s="14"/>
      <c r="K65" s="14"/>
    </row>
    <row r="66" spans="1:11" x14ac:dyDescent="0.15">
      <c r="A66" s="14"/>
      <c r="B66" s="14"/>
      <c r="C66" s="14"/>
      <c r="D66" s="15"/>
      <c r="E66" s="14"/>
      <c r="F66" s="14"/>
      <c r="G66" s="14"/>
      <c r="H66" s="14"/>
      <c r="K66" s="14"/>
    </row>
    <row r="67" spans="1:11" x14ac:dyDescent="0.15">
      <c r="A67" s="14"/>
      <c r="B67" s="14"/>
      <c r="C67" s="14"/>
      <c r="D67" s="15"/>
      <c r="E67" s="14"/>
      <c r="F67" s="14"/>
      <c r="G67" s="14"/>
      <c r="H67" s="14"/>
      <c r="K67" s="14"/>
    </row>
    <row r="68" spans="1:11" x14ac:dyDescent="0.15">
      <c r="A68" s="14"/>
      <c r="B68" s="14"/>
      <c r="C68" s="14"/>
      <c r="D68" s="15"/>
      <c r="E68" s="14"/>
      <c r="F68" s="14"/>
      <c r="G68" s="14"/>
      <c r="H68" s="14"/>
      <c r="K68" s="14"/>
    </row>
    <row r="69" spans="1:11" x14ac:dyDescent="0.15">
      <c r="A69" s="14"/>
      <c r="B69" s="14"/>
      <c r="C69" s="14"/>
      <c r="D69" s="15"/>
      <c r="E69" s="14"/>
      <c r="F69" s="14"/>
      <c r="G69" s="14"/>
      <c r="H69" s="14"/>
      <c r="K69" s="14"/>
    </row>
    <row r="70" spans="1:11" x14ac:dyDescent="0.15">
      <c r="A70" s="14"/>
      <c r="B70" s="14"/>
      <c r="C70" s="14"/>
      <c r="D70" s="15"/>
      <c r="E70" s="14"/>
      <c r="F70" s="14"/>
      <c r="G70" s="14"/>
      <c r="H70" s="14"/>
      <c r="K70" s="14"/>
    </row>
    <row r="71" spans="1:11" x14ac:dyDescent="0.15">
      <c r="A71" s="14"/>
      <c r="B71" s="14"/>
      <c r="C71" s="14"/>
      <c r="D71" s="15"/>
      <c r="E71" s="14"/>
      <c r="F71" s="14"/>
      <c r="G71" s="14"/>
      <c r="H71" s="14"/>
      <c r="K71" s="14"/>
    </row>
    <row r="72" spans="1:11" x14ac:dyDescent="0.15">
      <c r="A72" s="14"/>
      <c r="B72" s="14"/>
      <c r="C72" s="14"/>
      <c r="D72" s="15"/>
      <c r="E72" s="14"/>
      <c r="F72" s="14"/>
      <c r="G72" s="14"/>
      <c r="H72" s="14"/>
      <c r="K72" s="14"/>
    </row>
    <row r="73" spans="1:11" x14ac:dyDescent="0.15">
      <c r="A73" s="14"/>
      <c r="B73" s="14"/>
      <c r="C73" s="14"/>
      <c r="D73" s="15"/>
      <c r="E73" s="14"/>
      <c r="F73" s="14"/>
      <c r="G73" s="14"/>
      <c r="H73" s="14"/>
      <c r="K73" s="14"/>
    </row>
    <row r="74" spans="1:11" x14ac:dyDescent="0.15">
      <c r="A74" s="14"/>
      <c r="B74" s="14"/>
      <c r="C74" s="14"/>
      <c r="D74" s="15"/>
      <c r="E74" s="14"/>
      <c r="F74" s="14"/>
      <c r="G74" s="14"/>
      <c r="H74" s="14"/>
      <c r="K74" s="14"/>
    </row>
    <row r="75" spans="1:11" x14ac:dyDescent="0.15">
      <c r="A75" s="14"/>
      <c r="B75" s="14"/>
      <c r="C75" s="14"/>
      <c r="D75" s="15"/>
      <c r="E75" s="14"/>
      <c r="F75" s="14"/>
      <c r="G75" s="14"/>
      <c r="H75" s="14"/>
      <c r="K75" s="14"/>
    </row>
    <row r="76" spans="1:11" x14ac:dyDescent="0.15">
      <c r="A76" s="14"/>
      <c r="B76" s="14"/>
      <c r="C76" s="14"/>
      <c r="D76" s="15"/>
      <c r="E76" s="14"/>
      <c r="F76" s="14"/>
      <c r="G76" s="14"/>
      <c r="H76" s="14"/>
      <c r="K76" s="14"/>
    </row>
    <row r="77" spans="1:11" x14ac:dyDescent="0.15">
      <c r="A77" s="14"/>
      <c r="B77" s="14"/>
      <c r="C77" s="14"/>
      <c r="D77" s="15"/>
      <c r="E77" s="14"/>
      <c r="F77" s="14"/>
      <c r="G77" s="14"/>
      <c r="H77" s="14"/>
      <c r="K77" s="14"/>
    </row>
    <row r="78" spans="1:11" x14ac:dyDescent="0.15">
      <c r="A78" s="14"/>
      <c r="B78" s="14"/>
      <c r="C78" s="14"/>
      <c r="D78" s="15"/>
      <c r="E78" s="14"/>
      <c r="F78" s="14"/>
      <c r="G78" s="14"/>
      <c r="H78" s="14"/>
      <c r="K78" s="14"/>
    </row>
    <row r="79" spans="1:11" x14ac:dyDescent="0.15">
      <c r="A79" s="14"/>
      <c r="B79" s="14"/>
      <c r="C79" s="14"/>
      <c r="D79" s="15"/>
      <c r="E79" s="14"/>
      <c r="F79" s="14"/>
      <c r="G79" s="14"/>
      <c r="H79" s="14"/>
      <c r="K79" s="14"/>
    </row>
    <row r="80" spans="1:11" x14ac:dyDescent="0.15">
      <c r="A80" s="14"/>
      <c r="B80" s="14"/>
      <c r="C80" s="14"/>
      <c r="D80" s="15"/>
      <c r="E80" s="14"/>
      <c r="F80" s="14"/>
      <c r="G80" s="14"/>
      <c r="H80" s="14"/>
      <c r="K80" s="14"/>
    </row>
    <row r="81" spans="1:11" x14ac:dyDescent="0.15">
      <c r="A81" s="14"/>
      <c r="B81" s="14"/>
      <c r="C81" s="14"/>
      <c r="D81" s="15"/>
      <c r="E81" s="14"/>
      <c r="F81" s="14"/>
      <c r="G81" s="14"/>
      <c r="H81" s="14"/>
      <c r="K81" s="14"/>
    </row>
    <row r="82" spans="1:11" x14ac:dyDescent="0.15">
      <c r="A82" s="14"/>
      <c r="B82" s="14"/>
      <c r="C82" s="14"/>
      <c r="D82" s="15"/>
      <c r="E82" s="14"/>
      <c r="F82" s="14"/>
      <c r="G82" s="14"/>
      <c r="H82" s="14"/>
      <c r="K82" s="14"/>
    </row>
    <row r="83" spans="1:11" x14ac:dyDescent="0.15">
      <c r="A83" s="14"/>
      <c r="B83" s="14"/>
      <c r="C83" s="14"/>
      <c r="D83" s="15"/>
      <c r="E83" s="14"/>
      <c r="F83" s="14"/>
      <c r="G83" s="14"/>
      <c r="H83" s="14"/>
      <c r="K83" s="14"/>
    </row>
    <row r="84" spans="1:11" x14ac:dyDescent="0.15">
      <c r="A84" s="14"/>
      <c r="B84" s="14"/>
      <c r="C84" s="14"/>
      <c r="D84" s="15"/>
      <c r="E84" s="14"/>
      <c r="F84" s="14"/>
      <c r="G84" s="14"/>
      <c r="H84" s="14"/>
      <c r="K84" s="14"/>
    </row>
    <row r="85" spans="1:11" x14ac:dyDescent="0.15">
      <c r="A85" s="14"/>
      <c r="B85" s="14"/>
      <c r="C85" s="14"/>
      <c r="D85" s="15"/>
      <c r="E85" s="14"/>
      <c r="F85" s="14"/>
      <c r="G85" s="14"/>
      <c r="H85" s="14"/>
      <c r="K85" s="14"/>
    </row>
    <row r="86" spans="1:11" x14ac:dyDescent="0.15">
      <c r="A86" s="14"/>
      <c r="B86" s="14"/>
      <c r="C86" s="14"/>
      <c r="D86" s="15"/>
      <c r="E86" s="14"/>
      <c r="F86" s="14"/>
      <c r="G86" s="14"/>
      <c r="H86" s="14"/>
      <c r="K86" s="14"/>
    </row>
    <row r="87" spans="1:11" x14ac:dyDescent="0.15">
      <c r="A87" s="14"/>
      <c r="B87" s="14"/>
      <c r="C87" s="14"/>
      <c r="D87" s="15"/>
      <c r="E87" s="14"/>
      <c r="F87" s="14"/>
      <c r="G87" s="14"/>
      <c r="H87" s="14"/>
      <c r="K87" s="14"/>
    </row>
    <row r="88" spans="1:11" x14ac:dyDescent="0.15">
      <c r="A88" s="14"/>
      <c r="B88" s="14"/>
      <c r="C88" s="14"/>
      <c r="D88" s="15"/>
      <c r="E88" s="14"/>
      <c r="F88" s="14"/>
      <c r="G88" s="14"/>
      <c r="H88" s="14"/>
      <c r="K88" s="14"/>
    </row>
    <row r="89" spans="1:11" x14ac:dyDescent="0.15">
      <c r="A89" s="14"/>
      <c r="B89" s="14"/>
      <c r="C89" s="14"/>
      <c r="D89" s="15"/>
      <c r="E89" s="14"/>
      <c r="F89" s="14"/>
      <c r="G89" s="14"/>
      <c r="H89" s="14"/>
      <c r="K89" s="14"/>
    </row>
    <row r="90" spans="1:11" x14ac:dyDescent="0.15">
      <c r="A90" s="14"/>
      <c r="B90" s="14"/>
      <c r="C90" s="14"/>
      <c r="D90" s="15"/>
      <c r="E90" s="14"/>
      <c r="F90" s="14"/>
      <c r="G90" s="14"/>
      <c r="H90" s="14"/>
      <c r="K90" s="14"/>
    </row>
    <row r="91" spans="1:11" x14ac:dyDescent="0.15">
      <c r="A91" s="14"/>
      <c r="B91" s="14"/>
      <c r="C91" s="14"/>
      <c r="D91" s="15"/>
      <c r="E91" s="14"/>
      <c r="F91" s="14"/>
      <c r="G91" s="14"/>
      <c r="H91" s="14"/>
      <c r="K91" s="14"/>
    </row>
    <row r="92" spans="1:11" x14ac:dyDescent="0.15">
      <c r="A92" s="14"/>
      <c r="B92" s="14"/>
      <c r="C92" s="14"/>
      <c r="D92" s="15"/>
      <c r="E92" s="14"/>
      <c r="F92" s="14"/>
      <c r="G92" s="14"/>
      <c r="H92" s="14"/>
      <c r="K92" s="14"/>
    </row>
    <row r="93" spans="1:11" x14ac:dyDescent="0.15">
      <c r="A93" s="14"/>
      <c r="B93" s="14"/>
      <c r="C93" s="14"/>
      <c r="D93" s="15"/>
      <c r="E93" s="14"/>
      <c r="F93" s="14"/>
      <c r="G93" s="14"/>
      <c r="H93" s="14"/>
      <c r="K93" s="14"/>
    </row>
    <row r="94" spans="1:11" x14ac:dyDescent="0.15">
      <c r="A94" s="14"/>
      <c r="B94" s="14"/>
      <c r="C94" s="14"/>
      <c r="D94" s="15"/>
      <c r="E94" s="14"/>
      <c r="F94" s="14"/>
      <c r="G94" s="14"/>
      <c r="H94" s="14"/>
      <c r="K94" s="14"/>
    </row>
    <row r="95" spans="1:11" x14ac:dyDescent="0.15">
      <c r="A95" s="14"/>
      <c r="B95" s="14"/>
      <c r="C95" s="14"/>
      <c r="D95" s="15"/>
      <c r="E95" s="14"/>
      <c r="F95" s="14"/>
      <c r="G95" s="14"/>
      <c r="H95" s="14"/>
      <c r="K95" s="14"/>
    </row>
    <row r="96" spans="1:11" x14ac:dyDescent="0.15">
      <c r="A96" s="14"/>
      <c r="B96" s="14"/>
      <c r="C96" s="14"/>
      <c r="D96" s="15"/>
      <c r="E96" s="14"/>
      <c r="F96" s="14"/>
      <c r="G96" s="14"/>
      <c r="H96" s="14"/>
      <c r="K96" s="14"/>
    </row>
    <row r="97" spans="1:11" x14ac:dyDescent="0.15">
      <c r="A97" s="14"/>
      <c r="B97" s="14"/>
      <c r="C97" s="14"/>
      <c r="D97" s="15"/>
      <c r="E97" s="14"/>
      <c r="F97" s="14"/>
      <c r="G97" s="14"/>
      <c r="H97" s="14"/>
      <c r="K97" s="14"/>
    </row>
    <row r="98" spans="1:11" x14ac:dyDescent="0.15">
      <c r="A98" s="14"/>
      <c r="B98" s="14"/>
      <c r="C98" s="14"/>
      <c r="D98" s="15"/>
      <c r="E98" s="14"/>
      <c r="F98" s="14"/>
      <c r="G98" s="14"/>
      <c r="H98" s="14"/>
      <c r="K98" s="14"/>
    </row>
    <row r="99" spans="1:11" x14ac:dyDescent="0.15">
      <c r="A99" s="14"/>
      <c r="B99" s="14"/>
      <c r="C99" s="14"/>
      <c r="D99" s="15"/>
      <c r="E99" s="14"/>
      <c r="F99" s="14"/>
      <c r="G99" s="14"/>
      <c r="H99" s="14"/>
      <c r="K99" s="14"/>
    </row>
    <row r="100" spans="1:11" x14ac:dyDescent="0.15">
      <c r="A100" s="14"/>
      <c r="B100" s="14"/>
      <c r="C100" s="14"/>
      <c r="D100" s="15"/>
      <c r="E100" s="14"/>
      <c r="F100" s="14"/>
      <c r="G100" s="14"/>
      <c r="H100" s="14"/>
      <c r="K100" s="14"/>
    </row>
    <row r="101" spans="1:11" x14ac:dyDescent="0.15">
      <c r="A101" s="14"/>
      <c r="B101" s="14"/>
      <c r="C101" s="14"/>
      <c r="D101" s="15"/>
      <c r="E101" s="14"/>
      <c r="F101" s="14"/>
      <c r="G101" s="14"/>
      <c r="H101" s="14"/>
      <c r="K101" s="14"/>
    </row>
    <row r="102" spans="1:11" x14ac:dyDescent="0.15">
      <c r="A102" s="14"/>
      <c r="B102" s="14"/>
      <c r="C102" s="14"/>
      <c r="D102" s="15"/>
      <c r="E102" s="14"/>
      <c r="F102" s="14"/>
      <c r="G102" s="14"/>
      <c r="H102" s="14"/>
      <c r="K102" s="14"/>
    </row>
    <row r="103" spans="1:11" x14ac:dyDescent="0.15">
      <c r="A103" s="14"/>
      <c r="B103" s="14"/>
      <c r="C103" s="14"/>
      <c r="D103" s="15"/>
      <c r="E103" s="14"/>
      <c r="F103" s="14"/>
      <c r="G103" s="14"/>
      <c r="H103" s="14"/>
      <c r="K103" s="14"/>
    </row>
    <row r="104" spans="1:11" x14ac:dyDescent="0.15">
      <c r="A104" s="14"/>
      <c r="B104" s="14"/>
      <c r="C104" s="14"/>
      <c r="D104" s="15"/>
      <c r="E104" s="14"/>
      <c r="F104" s="14"/>
      <c r="G104" s="14"/>
      <c r="H104" s="14"/>
      <c r="K104" s="14"/>
    </row>
    <row r="105" spans="1:11" x14ac:dyDescent="0.15">
      <c r="A105" s="14"/>
      <c r="B105" s="14"/>
      <c r="C105" s="14"/>
      <c r="D105" s="15"/>
      <c r="E105" s="14"/>
      <c r="F105" s="14"/>
      <c r="G105" s="14"/>
      <c r="H105" s="14"/>
      <c r="K105" s="14"/>
    </row>
    <row r="106" spans="1:11" x14ac:dyDescent="0.15">
      <c r="A106" s="14"/>
      <c r="B106" s="14"/>
      <c r="C106" s="14"/>
      <c r="D106" s="15"/>
      <c r="E106" s="14"/>
      <c r="F106" s="14"/>
      <c r="G106" s="14"/>
      <c r="H106" s="14"/>
      <c r="K106" s="14"/>
    </row>
    <row r="107" spans="1:11" x14ac:dyDescent="0.15">
      <c r="A107" s="14"/>
      <c r="B107" s="14"/>
      <c r="C107" s="14"/>
      <c r="D107" s="15"/>
      <c r="E107" s="14"/>
      <c r="F107" s="14"/>
      <c r="G107" s="14"/>
      <c r="H107" s="14"/>
      <c r="K107" s="14"/>
    </row>
    <row r="108" spans="1:11" x14ac:dyDescent="0.15">
      <c r="A108" s="14"/>
      <c r="B108" s="14"/>
      <c r="C108" s="14"/>
      <c r="D108" s="15"/>
      <c r="E108" s="14"/>
      <c r="F108" s="14"/>
      <c r="G108" s="14"/>
      <c r="H108" s="14"/>
      <c r="K108" s="14"/>
    </row>
    <row r="109" spans="1:11" x14ac:dyDescent="0.15">
      <c r="A109" s="14"/>
      <c r="B109" s="14"/>
      <c r="C109" s="14"/>
      <c r="D109" s="15"/>
      <c r="E109" s="14"/>
      <c r="F109" s="14"/>
      <c r="G109" s="14"/>
      <c r="H109" s="14"/>
      <c r="K109" s="14"/>
    </row>
    <row r="110" spans="1:11" x14ac:dyDescent="0.15">
      <c r="A110" s="14"/>
      <c r="B110" s="14"/>
      <c r="C110" s="14"/>
      <c r="D110" s="15"/>
      <c r="E110" s="14"/>
      <c r="F110" s="14"/>
      <c r="G110" s="14"/>
      <c r="H110" s="14"/>
      <c r="K110" s="14"/>
    </row>
    <row r="111" spans="1:11" x14ac:dyDescent="0.15">
      <c r="A111" s="14"/>
      <c r="B111" s="14"/>
      <c r="C111" s="14"/>
      <c r="D111" s="15"/>
      <c r="E111" s="14"/>
      <c r="F111" s="14"/>
      <c r="G111" s="14"/>
      <c r="H111" s="14"/>
      <c r="K111" s="14"/>
    </row>
    <row r="112" spans="1:11" x14ac:dyDescent="0.15">
      <c r="A112" s="14"/>
      <c r="B112" s="14"/>
      <c r="C112" s="14"/>
      <c r="D112" s="15"/>
      <c r="E112" s="14"/>
      <c r="F112" s="14"/>
      <c r="G112" s="14"/>
      <c r="H112" s="14"/>
      <c r="K112" s="14"/>
    </row>
    <row r="113" spans="1:11" x14ac:dyDescent="0.15">
      <c r="A113" s="14"/>
      <c r="B113" s="14"/>
      <c r="C113" s="14"/>
      <c r="D113" s="15"/>
      <c r="E113" s="14"/>
      <c r="F113" s="14"/>
      <c r="G113" s="14"/>
      <c r="H113" s="14"/>
      <c r="K113" s="14"/>
    </row>
    <row r="114" spans="1:11" x14ac:dyDescent="0.15">
      <c r="A114" s="14"/>
      <c r="B114" s="14"/>
      <c r="C114" s="14"/>
      <c r="D114" s="15"/>
      <c r="E114" s="14"/>
      <c r="F114" s="14"/>
      <c r="G114" s="14"/>
      <c r="H114" s="14"/>
      <c r="K114" s="14"/>
    </row>
    <row r="115" spans="1:11" x14ac:dyDescent="0.15">
      <c r="A115" s="14"/>
      <c r="B115" s="14"/>
      <c r="C115" s="14"/>
      <c r="D115" s="15"/>
      <c r="E115" s="14"/>
      <c r="F115" s="14"/>
      <c r="G115" s="14"/>
      <c r="H115" s="14"/>
      <c r="K115" s="14"/>
    </row>
    <row r="116" spans="1:11" x14ac:dyDescent="0.15">
      <c r="A116" s="14"/>
      <c r="B116" s="14"/>
      <c r="C116" s="14"/>
      <c r="D116" s="15"/>
      <c r="E116" s="14"/>
      <c r="F116" s="14"/>
      <c r="G116" s="14"/>
      <c r="H116" s="14"/>
      <c r="K116" s="14"/>
    </row>
    <row r="117" spans="1:11" x14ac:dyDescent="0.15">
      <c r="A117" s="14"/>
      <c r="B117" s="14"/>
      <c r="C117" s="14"/>
      <c r="D117" s="15"/>
      <c r="E117" s="14"/>
      <c r="F117" s="14"/>
      <c r="G117" s="14"/>
      <c r="H117" s="14"/>
      <c r="K117" s="14"/>
    </row>
    <row r="118" spans="1:11" x14ac:dyDescent="0.15">
      <c r="A118" s="14"/>
      <c r="B118" s="14"/>
      <c r="C118" s="14"/>
      <c r="D118" s="15"/>
      <c r="E118" s="14"/>
      <c r="F118" s="14"/>
      <c r="G118" s="14"/>
      <c r="H118" s="14"/>
      <c r="K118" s="14"/>
    </row>
    <row r="119" spans="1:11" x14ac:dyDescent="0.15">
      <c r="A119" s="14"/>
      <c r="B119" s="14"/>
      <c r="C119" s="14"/>
      <c r="D119" s="15"/>
      <c r="E119" s="14"/>
      <c r="F119" s="14"/>
      <c r="G119" s="14"/>
      <c r="H119" s="14"/>
      <c r="K119" s="14"/>
    </row>
    <row r="120" spans="1:11" x14ac:dyDescent="0.15">
      <c r="A120" s="14"/>
      <c r="B120" s="14"/>
      <c r="C120" s="14"/>
      <c r="D120" s="15"/>
      <c r="E120" s="14"/>
      <c r="F120" s="14"/>
      <c r="G120" s="14"/>
      <c r="H120" s="14"/>
      <c r="K120" s="14"/>
    </row>
    <row r="121" spans="1:11" x14ac:dyDescent="0.15">
      <c r="A121" s="14"/>
      <c r="B121" s="14"/>
      <c r="C121" s="14"/>
      <c r="D121" s="15"/>
      <c r="E121" s="14"/>
      <c r="F121" s="14"/>
      <c r="G121" s="14"/>
      <c r="H121" s="14"/>
      <c r="K121" s="14"/>
    </row>
    <row r="122" spans="1:11" x14ac:dyDescent="0.15">
      <c r="A122" s="14"/>
      <c r="B122" s="14"/>
      <c r="C122" s="14"/>
      <c r="D122" s="15"/>
      <c r="E122" s="14"/>
      <c r="F122" s="14"/>
      <c r="G122" s="14"/>
      <c r="H122" s="14"/>
      <c r="K122" s="14"/>
    </row>
    <row r="123" spans="1:11" x14ac:dyDescent="0.15">
      <c r="A123" s="14"/>
      <c r="B123" s="14"/>
      <c r="C123" s="14"/>
      <c r="D123" s="15"/>
      <c r="E123" s="14"/>
      <c r="F123" s="14"/>
      <c r="G123" s="14"/>
      <c r="H123" s="14"/>
      <c r="K123" s="14"/>
    </row>
    <row r="124" spans="1:11" x14ac:dyDescent="0.15">
      <c r="A124" s="14"/>
      <c r="B124" s="14"/>
      <c r="C124" s="14"/>
      <c r="D124" s="15"/>
      <c r="E124" s="14"/>
      <c r="F124" s="14"/>
      <c r="G124" s="14"/>
      <c r="H124" s="14"/>
      <c r="K124" s="14"/>
    </row>
    <row r="125" spans="1:11" x14ac:dyDescent="0.15">
      <c r="A125" s="14"/>
      <c r="B125" s="14"/>
      <c r="C125" s="14"/>
      <c r="D125" s="15"/>
      <c r="E125" s="14"/>
      <c r="F125" s="14"/>
      <c r="G125" s="14"/>
      <c r="H125" s="14"/>
      <c r="K125" s="14"/>
    </row>
    <row r="126" spans="1:11" x14ac:dyDescent="0.15">
      <c r="A126" s="14"/>
      <c r="B126" s="14"/>
      <c r="C126" s="14"/>
      <c r="D126" s="15"/>
      <c r="E126" s="14"/>
      <c r="F126" s="14"/>
      <c r="G126" s="14"/>
      <c r="H126" s="14"/>
      <c r="K126" s="14"/>
    </row>
    <row r="127" spans="1:11" x14ac:dyDescent="0.15">
      <c r="A127" s="14"/>
      <c r="B127" s="14"/>
      <c r="C127" s="14"/>
      <c r="D127" s="15"/>
      <c r="E127" s="14"/>
      <c r="F127" s="14"/>
      <c r="G127" s="14"/>
      <c r="H127" s="14"/>
      <c r="K127" s="14"/>
    </row>
    <row r="128" spans="1:11" x14ac:dyDescent="0.15">
      <c r="A128" s="14"/>
      <c r="B128" s="14"/>
      <c r="C128" s="14"/>
      <c r="D128" s="15"/>
      <c r="E128" s="14"/>
      <c r="F128" s="14"/>
      <c r="G128" s="14"/>
      <c r="H128" s="14"/>
      <c r="K128" s="14"/>
    </row>
    <row r="129" spans="1:11" x14ac:dyDescent="0.15">
      <c r="A129" s="14"/>
      <c r="B129" s="14"/>
      <c r="C129" s="14"/>
      <c r="D129" s="15"/>
      <c r="E129" s="14"/>
      <c r="F129" s="14"/>
      <c r="G129" s="14"/>
      <c r="H129" s="14"/>
      <c r="K129" s="14"/>
    </row>
    <row r="130" spans="1:11" x14ac:dyDescent="0.15">
      <c r="A130" s="14"/>
      <c r="B130" s="14"/>
      <c r="C130" s="14"/>
      <c r="D130" s="15"/>
      <c r="E130" s="14"/>
      <c r="F130" s="14"/>
      <c r="G130" s="14"/>
      <c r="H130" s="14"/>
      <c r="K130" s="14"/>
    </row>
    <row r="131" spans="1:11" x14ac:dyDescent="0.15">
      <c r="A131" s="14"/>
      <c r="B131" s="14"/>
      <c r="C131" s="14"/>
      <c r="D131" s="15"/>
      <c r="E131" s="14"/>
      <c r="F131" s="14"/>
      <c r="G131" s="14"/>
      <c r="H131" s="14"/>
      <c r="K131" s="14"/>
    </row>
    <row r="132" spans="1:11" x14ac:dyDescent="0.15">
      <c r="A132" s="14"/>
      <c r="B132" s="14"/>
      <c r="C132" s="14"/>
      <c r="D132" s="15"/>
      <c r="E132" s="14"/>
      <c r="F132" s="14"/>
      <c r="G132" s="14"/>
      <c r="H132" s="14"/>
      <c r="K132" s="14"/>
    </row>
    <row r="133" spans="1:11" x14ac:dyDescent="0.15">
      <c r="A133" s="14"/>
      <c r="B133" s="14"/>
      <c r="C133" s="14"/>
      <c r="D133" s="15"/>
      <c r="E133" s="14"/>
      <c r="F133" s="14"/>
      <c r="G133" s="14"/>
      <c r="H133" s="14"/>
      <c r="K133" s="14"/>
    </row>
    <row r="134" spans="1:11" x14ac:dyDescent="0.15">
      <c r="A134" s="14"/>
      <c r="B134" s="14"/>
      <c r="C134" s="14"/>
      <c r="D134" s="15"/>
      <c r="E134" s="14"/>
      <c r="F134" s="14"/>
      <c r="G134" s="14"/>
      <c r="H134" s="14"/>
      <c r="K134" s="14"/>
    </row>
    <row r="135" spans="1:11" x14ac:dyDescent="0.15">
      <c r="A135" s="14"/>
      <c r="B135" s="14"/>
      <c r="C135" s="14"/>
      <c r="D135" s="15"/>
      <c r="E135" s="14"/>
      <c r="F135" s="14"/>
      <c r="G135" s="14"/>
      <c r="H135" s="14"/>
      <c r="K135" s="14"/>
    </row>
    <row r="136" spans="1:11" x14ac:dyDescent="0.15">
      <c r="A136" s="14"/>
      <c r="B136" s="14"/>
      <c r="C136" s="14"/>
      <c r="D136" s="15"/>
      <c r="E136" s="14"/>
      <c r="F136" s="14"/>
      <c r="G136" s="14"/>
      <c r="H136" s="14"/>
      <c r="K136" s="14"/>
    </row>
    <row r="137" spans="1:11" x14ac:dyDescent="0.15">
      <c r="A137" s="14"/>
      <c r="B137" s="14"/>
      <c r="C137" s="14"/>
      <c r="D137" s="15"/>
      <c r="E137" s="14"/>
      <c r="F137" s="14"/>
      <c r="G137" s="14"/>
      <c r="H137" s="14"/>
      <c r="K137" s="14"/>
    </row>
    <row r="138" spans="1:11" x14ac:dyDescent="0.15">
      <c r="A138" s="14"/>
      <c r="B138" s="14"/>
      <c r="C138" s="14"/>
      <c r="D138" s="15"/>
      <c r="E138" s="14"/>
      <c r="F138" s="14"/>
      <c r="G138" s="14"/>
      <c r="H138" s="14"/>
      <c r="K138" s="14"/>
    </row>
    <row r="139" spans="1:11" x14ac:dyDescent="0.15">
      <c r="A139" s="14"/>
      <c r="B139" s="14"/>
      <c r="C139" s="14"/>
      <c r="D139" s="15"/>
      <c r="E139" s="14"/>
      <c r="F139" s="14"/>
      <c r="G139" s="14"/>
      <c r="H139" s="14"/>
      <c r="K139" s="14"/>
    </row>
    <row r="140" spans="1:11" x14ac:dyDescent="0.15">
      <c r="A140" s="14"/>
      <c r="B140" s="14"/>
      <c r="C140" s="14"/>
      <c r="D140" s="15"/>
      <c r="E140" s="14"/>
      <c r="F140" s="14"/>
      <c r="G140" s="14"/>
      <c r="H140" s="14"/>
      <c r="K140" s="14"/>
    </row>
    <row r="141" spans="1:11" x14ac:dyDescent="0.15">
      <c r="A141" s="14"/>
      <c r="B141" s="14"/>
      <c r="C141" s="14"/>
      <c r="D141" s="15"/>
      <c r="E141" s="14"/>
      <c r="F141" s="14"/>
      <c r="G141" s="14"/>
      <c r="H141" s="14"/>
      <c r="K141" s="14"/>
    </row>
    <row r="142" spans="1:11" x14ac:dyDescent="0.15">
      <c r="A142" s="14"/>
      <c r="B142" s="14"/>
      <c r="C142" s="14"/>
      <c r="D142" s="15"/>
      <c r="E142" s="14"/>
      <c r="F142" s="14"/>
      <c r="G142" s="14"/>
      <c r="H142" s="14"/>
      <c r="K142" s="14"/>
    </row>
    <row r="143" spans="1:11" x14ac:dyDescent="0.15">
      <c r="A143" s="14"/>
      <c r="B143" s="14"/>
      <c r="C143" s="14"/>
      <c r="D143" s="15"/>
      <c r="E143" s="14"/>
      <c r="F143" s="14"/>
      <c r="G143" s="14"/>
      <c r="H143" s="14"/>
      <c r="K143" s="14"/>
    </row>
    <row r="144" spans="1:11" x14ac:dyDescent="0.15">
      <c r="A144" s="14"/>
      <c r="B144" s="14"/>
      <c r="C144" s="14"/>
      <c r="D144" s="15"/>
      <c r="E144" s="14"/>
      <c r="F144" s="14"/>
      <c r="G144" s="14"/>
      <c r="H144" s="14"/>
      <c r="K144" s="14"/>
    </row>
    <row r="145" spans="1:11" x14ac:dyDescent="0.15">
      <c r="A145" s="14"/>
      <c r="B145" s="14"/>
      <c r="C145" s="14"/>
      <c r="D145" s="15"/>
      <c r="E145" s="14"/>
      <c r="F145" s="14"/>
      <c r="G145" s="14"/>
      <c r="H145" s="14"/>
      <c r="K145" s="14"/>
    </row>
    <row r="146" spans="1:11" x14ac:dyDescent="0.15">
      <c r="A146" s="14"/>
      <c r="B146" s="14"/>
      <c r="C146" s="14"/>
      <c r="D146" s="15"/>
      <c r="E146" s="14"/>
      <c r="F146" s="14"/>
      <c r="G146" s="14"/>
      <c r="H146" s="14"/>
      <c r="K146" s="14"/>
    </row>
    <row r="147" spans="1:11" x14ac:dyDescent="0.15">
      <c r="A147" s="14"/>
      <c r="B147" s="14"/>
      <c r="C147" s="14"/>
      <c r="D147" s="15"/>
      <c r="E147" s="14"/>
      <c r="F147" s="14"/>
      <c r="G147" s="14"/>
      <c r="H147" s="14"/>
      <c r="K147" s="14"/>
    </row>
    <row r="148" spans="1:11" x14ac:dyDescent="0.15">
      <c r="A148" s="14"/>
      <c r="B148" s="14"/>
      <c r="C148" s="14"/>
      <c r="D148" s="15"/>
      <c r="E148" s="14"/>
      <c r="F148" s="14"/>
      <c r="G148" s="14"/>
      <c r="H148" s="14"/>
      <c r="K148" s="14"/>
    </row>
    <row r="149" spans="1:11" x14ac:dyDescent="0.15">
      <c r="A149" s="14"/>
      <c r="B149" s="14"/>
      <c r="C149" s="14"/>
      <c r="D149" s="15"/>
      <c r="E149" s="14"/>
      <c r="F149" s="14"/>
      <c r="G149" s="14"/>
      <c r="H149" s="14"/>
      <c r="K149" s="14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6a43c1aa-5143-4f81-a3df-cac7f3407ddc">
      <UserInfo>
        <DisplayName>Steven Morrison</DisplayName>
        <AccountId>13</AccountId>
        <AccountType/>
      </UserInfo>
    </SharedWithUsers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ED1794E0E40C4EA73A82F8E16ECFF0" ma:contentTypeVersion="12" ma:contentTypeDescription="Create a new document." ma:contentTypeScope="" ma:versionID="7014e8dd96df9b95a0372b0d921072fb">
  <xsd:schema xmlns:xsd="http://www.w3.org/2001/XMLSchema" xmlns:xs="http://www.w3.org/2001/XMLSchema" xmlns:p="http://schemas.microsoft.com/office/2006/metadata/properties" xmlns:ns2="1c6c6950-968f-405b-9810-2824505caf51" xmlns:ns3="6a43c1aa-5143-4f81-a3df-cac7f3407ddc" targetNamespace="http://schemas.microsoft.com/office/2006/metadata/properties" ma:root="true" ma:fieldsID="7973f7d81eafa1b5f0a5c4368dbdf9a4" ns2:_="" ns3:_="">
    <xsd:import namespace="1c6c6950-968f-405b-9810-2824505caf51"/>
    <xsd:import namespace="6a43c1aa-5143-4f81-a3df-cac7f3407dd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c6c6950-968f-405b-9810-2824505caf5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Location" ma:index="12" nillable="true" ma:displayName="Location" ma:internalName="MediaServiceLocatio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a43c1aa-5143-4f81-a3df-cac7f3407ddc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F489720-7150-4A26-BC15-BDCBC48405F9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18843DDA-152F-4DA0-ADC7-4845727ACFE1}">
  <ds:schemaRefs>
    <ds:schemaRef ds:uri="http://purl.org/dc/terms/"/>
    <ds:schemaRef ds:uri="http://schemas.openxmlformats.org/package/2006/metadata/core-properties"/>
    <ds:schemaRef ds:uri="2323e0b1-be38-4b4a-b987-e7f23368946c"/>
    <ds:schemaRef ds:uri="http://purl.org/dc/dcmitype/"/>
    <ds:schemaRef ds:uri="3690805f-9c3a-47d7-9f8c-37fd135ee963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6a43c1aa-5143-4f81-a3df-cac7f3407ddc"/>
  </ds:schemaRefs>
</ds:datastoreItem>
</file>

<file path=customXml/itemProps3.xml><?xml version="1.0" encoding="utf-8"?>
<ds:datastoreItem xmlns:ds="http://schemas.openxmlformats.org/officeDocument/2006/customXml" ds:itemID="{BAE0D8BB-E0E9-4B34-AE79-BA1B3EBED713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2BF232BB-FA05-4837-8E1F-366471DCD93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c6c6950-968f-405b-9810-2824505caf51"/>
    <ds:schemaRef ds:uri="6a43c1aa-5143-4f81-a3df-cac7f3407dd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Procurement Costs</vt:lpstr>
      <vt:lpstr>Currency Exchange</vt:lpstr>
      <vt:lpstr>'Procurement Costs'!Print_Area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Ciaran Doidge</dc:creator>
  <cp:lastModifiedBy>Microsoft Office User</cp:lastModifiedBy>
  <cp:lastPrinted>2020-01-13T22:22:11Z</cp:lastPrinted>
  <dcterms:created xsi:type="dcterms:W3CDTF">2019-10-01T01:29:11Z</dcterms:created>
  <dcterms:modified xsi:type="dcterms:W3CDTF">2021-03-18T06:14:40Z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0x01010052ED1794E0E40C4EA73A82F8E16ECFF0</vt:lpwstr>
  </property>
</Properties>
</file>