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workbookPr defaultThemeVersion="124226"/>
  <mc:AlternateContent xmlns:mc="http://schemas.openxmlformats.org/markup-compatibility/2006">
    <mc:Choice Requires="x15">
      <x15ac:absPath xmlns:x15ac="http://schemas.microsoft.com/office/spreadsheetml/2010/11/ac" url="/Users/ciarandoidge/Documents/Projects/Management and Templates/excel-bom-templates/"/>
    </mc:Choice>
  </mc:AlternateContent>
  <xr:revisionPtr revIDLastSave="0" documentId="8_{1E7961B3-26ED-3E4D-B69A-2533A7F1B577}" xr6:coauthVersionLast="36" xr6:coauthVersionMax="36" xr10:uidLastSave="{00000000-0000-0000-0000-000000000000}"/>
  <bookViews>
    <workbookView xWindow="0" yWindow="520" windowWidth="28800" windowHeight="17540" tabRatio="763" activeTab="1" xr2:uid="{00000000-000D-0000-FFFF-FFFF00000000}"/>
  </bookViews>
  <sheets>
    <sheet name="Overview" sheetId="6" r:id="rId1"/>
    <sheet name="BOM" sheetId="11" r:id="rId2"/>
    <sheet name=" Revision Table" sheetId="4" r:id="rId3"/>
    <sheet name="Explanation" sheetId="2" r:id="rId4"/>
  </sheets>
  <definedNames>
    <definedName name="_xlnm.Print_Titles" localSheetId="0">Overview!$2:$8</definedName>
  </definedNames>
  <calcPr calcId="181029"/>
</workbook>
</file>

<file path=xl/calcChain.xml><?xml version="1.0" encoding="utf-8"?>
<calcChain xmlns="http://schemas.openxmlformats.org/spreadsheetml/2006/main">
  <c r="C10" i="6" l="1"/>
  <c r="D10" i="6"/>
  <c r="E10" i="6"/>
  <c r="F10" i="6"/>
  <c r="G10" i="6"/>
  <c r="H10" i="6"/>
  <c r="I10" i="6"/>
  <c r="J10" i="6"/>
  <c r="K10" i="6"/>
  <c r="C11" i="6"/>
  <c r="D11" i="6"/>
  <c r="E11" i="6"/>
  <c r="F11" i="6"/>
  <c r="G11" i="6"/>
  <c r="H11" i="6"/>
  <c r="I11" i="6"/>
  <c r="J11" i="6"/>
  <c r="K11" i="6"/>
  <c r="C12" i="6"/>
  <c r="D12" i="6"/>
  <c r="E12" i="6"/>
  <c r="F12" i="6"/>
  <c r="G12" i="6"/>
  <c r="H12" i="6"/>
  <c r="I12" i="6"/>
  <c r="J12" i="6"/>
  <c r="K12" i="6"/>
  <c r="C13" i="6"/>
  <c r="D13" i="6"/>
  <c r="E13" i="6"/>
  <c r="F13" i="6"/>
  <c r="G13" i="6"/>
  <c r="H13" i="6"/>
  <c r="I13" i="6"/>
  <c r="J13" i="6"/>
  <c r="K13" i="6"/>
  <c r="C14" i="6"/>
  <c r="D14" i="6"/>
  <c r="E14" i="6"/>
  <c r="F14" i="6"/>
  <c r="G14" i="6"/>
  <c r="H14" i="6"/>
  <c r="I14" i="6"/>
  <c r="J14" i="6"/>
  <c r="K14" i="6"/>
  <c r="C15" i="6"/>
  <c r="D15" i="6"/>
  <c r="E15" i="6"/>
  <c r="F15" i="6"/>
  <c r="G15" i="6"/>
  <c r="H15" i="6"/>
  <c r="I15" i="6"/>
  <c r="J15" i="6"/>
  <c r="K15" i="6"/>
  <c r="C16" i="6"/>
  <c r="D16" i="6"/>
  <c r="E16" i="6"/>
  <c r="F16" i="6"/>
  <c r="G16" i="6"/>
  <c r="H16" i="6"/>
  <c r="I16" i="6"/>
  <c r="J16" i="6"/>
  <c r="K16" i="6"/>
  <c r="C17" i="6"/>
  <c r="D17" i="6"/>
  <c r="E17" i="6"/>
  <c r="F17" i="6"/>
  <c r="G17" i="6"/>
  <c r="H17" i="6"/>
  <c r="I17" i="6"/>
  <c r="J17" i="6"/>
  <c r="K17" i="6"/>
  <c r="C18" i="6"/>
  <c r="D18" i="6"/>
  <c r="E18" i="6"/>
  <c r="F18" i="6"/>
  <c r="G18" i="6"/>
  <c r="H18" i="6"/>
  <c r="I18" i="6"/>
  <c r="J18" i="6"/>
  <c r="K18" i="6"/>
  <c r="C19" i="6"/>
  <c r="D19" i="6"/>
  <c r="E19" i="6"/>
  <c r="F19" i="6"/>
  <c r="G19" i="6"/>
  <c r="H19" i="6"/>
  <c r="I19" i="6"/>
  <c r="J19" i="6"/>
  <c r="K19" i="6"/>
  <c r="C20" i="6"/>
  <c r="D20" i="6"/>
  <c r="E20" i="6"/>
  <c r="F20" i="6"/>
  <c r="G20" i="6"/>
  <c r="H20" i="6"/>
  <c r="I20" i="6"/>
  <c r="J20" i="6"/>
  <c r="K20" i="6"/>
  <c r="C21" i="6"/>
  <c r="D21" i="6"/>
  <c r="E21" i="6"/>
  <c r="F21" i="6"/>
  <c r="G21" i="6"/>
  <c r="H21" i="6"/>
  <c r="I21" i="6"/>
  <c r="J21" i="6"/>
  <c r="K21" i="6"/>
  <c r="C22" i="6"/>
  <c r="D22" i="6"/>
  <c r="E22" i="6"/>
  <c r="F22" i="6"/>
  <c r="G22" i="6"/>
  <c r="H22" i="6"/>
  <c r="I22" i="6"/>
  <c r="J22" i="6"/>
  <c r="K22" i="6"/>
  <c r="C23" i="6"/>
  <c r="D23" i="6"/>
  <c r="E23" i="6"/>
  <c r="F23" i="6"/>
  <c r="G23" i="6"/>
  <c r="H23" i="6"/>
  <c r="I23" i="6"/>
  <c r="J23" i="6"/>
  <c r="K23" i="6"/>
  <c r="C24" i="6"/>
  <c r="D24" i="6"/>
  <c r="E24" i="6"/>
  <c r="F24" i="6"/>
  <c r="G24" i="6"/>
  <c r="H24" i="6"/>
  <c r="I24" i="6"/>
  <c r="J24" i="6"/>
  <c r="K24" i="6"/>
  <c r="C25" i="6"/>
  <c r="D25" i="6"/>
  <c r="E25" i="6"/>
  <c r="F25" i="6"/>
  <c r="G25" i="6"/>
  <c r="H25" i="6"/>
  <c r="I25" i="6"/>
  <c r="J25" i="6"/>
  <c r="K25" i="6"/>
  <c r="C26" i="6"/>
  <c r="D26" i="6"/>
  <c r="E26" i="6"/>
  <c r="F26" i="6"/>
  <c r="G26" i="6"/>
  <c r="H26" i="6"/>
  <c r="I26" i="6"/>
  <c r="J26" i="6"/>
  <c r="K26" i="6"/>
  <c r="C27" i="6"/>
  <c r="D27" i="6"/>
  <c r="E27" i="6"/>
  <c r="F27" i="6"/>
  <c r="G27" i="6"/>
  <c r="H27" i="6"/>
  <c r="I27" i="6"/>
  <c r="J27" i="6"/>
  <c r="K27" i="6"/>
  <c r="C28" i="6"/>
  <c r="D28" i="6"/>
  <c r="E28" i="6"/>
  <c r="F28" i="6"/>
  <c r="G28" i="6"/>
  <c r="H28" i="6"/>
  <c r="I28" i="6"/>
  <c r="J28" i="6"/>
  <c r="K28" i="6"/>
  <c r="C29" i="6"/>
  <c r="D29" i="6"/>
  <c r="E29" i="6"/>
  <c r="F29" i="6"/>
  <c r="G29" i="6"/>
  <c r="H29" i="6"/>
  <c r="I29" i="6"/>
  <c r="J29" i="6"/>
  <c r="K29" i="6"/>
  <c r="C30" i="6"/>
  <c r="D30" i="6"/>
  <c r="E30" i="6"/>
  <c r="F30" i="6"/>
  <c r="G30" i="6"/>
  <c r="H30" i="6"/>
  <c r="I30" i="6"/>
  <c r="J30" i="6"/>
  <c r="K30" i="6"/>
  <c r="C31" i="6"/>
  <c r="D31" i="6"/>
  <c r="E31" i="6"/>
  <c r="F31" i="6"/>
  <c r="G31" i="6"/>
  <c r="H31" i="6"/>
  <c r="I31" i="6"/>
  <c r="J31" i="6"/>
  <c r="K31" i="6"/>
  <c r="C32" i="6"/>
  <c r="D32" i="6"/>
  <c r="E32" i="6"/>
  <c r="F32" i="6"/>
  <c r="G32" i="6"/>
  <c r="H32" i="6"/>
  <c r="I32" i="6"/>
  <c r="J32" i="6"/>
  <c r="K32" i="6"/>
  <c r="C33" i="6"/>
  <c r="D33" i="6"/>
  <c r="E33" i="6"/>
  <c r="F33" i="6"/>
  <c r="G33" i="6"/>
  <c r="H33" i="6"/>
  <c r="I33" i="6"/>
  <c r="J33" i="6"/>
  <c r="K33" i="6"/>
  <c r="C34" i="6"/>
  <c r="D34" i="6"/>
  <c r="E34" i="6"/>
  <c r="F34" i="6"/>
  <c r="G34" i="6"/>
  <c r="H34" i="6"/>
  <c r="I34" i="6"/>
  <c r="J34" i="6"/>
  <c r="K34" i="6"/>
  <c r="C35" i="6"/>
  <c r="D35" i="6"/>
  <c r="E35" i="6"/>
  <c r="F35" i="6"/>
  <c r="G35" i="6"/>
  <c r="H35" i="6"/>
  <c r="I35" i="6"/>
  <c r="J35" i="6"/>
  <c r="K35" i="6"/>
  <c r="C36" i="6"/>
  <c r="D36" i="6"/>
  <c r="E36" i="6"/>
  <c r="F36" i="6"/>
  <c r="G36" i="6"/>
  <c r="H36" i="6"/>
  <c r="I36" i="6"/>
  <c r="J36" i="6"/>
  <c r="K36" i="6"/>
  <c r="C37" i="6"/>
  <c r="D37" i="6"/>
  <c r="E37" i="6"/>
  <c r="F37" i="6"/>
  <c r="G37" i="6"/>
  <c r="H37" i="6"/>
  <c r="I37" i="6"/>
  <c r="J37" i="6"/>
  <c r="K37" i="6"/>
  <c r="C38" i="6"/>
  <c r="D38" i="6"/>
  <c r="E38" i="6"/>
  <c r="F38" i="6"/>
  <c r="G38" i="6"/>
  <c r="H38" i="6"/>
  <c r="I38" i="6"/>
  <c r="J38" i="6"/>
  <c r="K38" i="6"/>
  <c r="C39" i="6"/>
  <c r="D39" i="6"/>
  <c r="E39" i="6"/>
  <c r="F39" i="6"/>
  <c r="G39" i="6"/>
  <c r="H39" i="6"/>
  <c r="I39" i="6"/>
  <c r="J39" i="6"/>
  <c r="K39" i="6"/>
  <c r="C40" i="6"/>
  <c r="D40" i="6"/>
  <c r="E40" i="6"/>
  <c r="F40" i="6"/>
  <c r="G40" i="6"/>
  <c r="H40" i="6"/>
  <c r="I40" i="6"/>
  <c r="J40" i="6"/>
  <c r="K40" i="6"/>
  <c r="C41" i="6"/>
  <c r="D41" i="6"/>
  <c r="E41" i="6"/>
  <c r="F41" i="6"/>
  <c r="G41" i="6"/>
  <c r="H41" i="6"/>
  <c r="I41" i="6"/>
  <c r="J41" i="6"/>
  <c r="K41" i="6"/>
  <c r="C42" i="6"/>
  <c r="D42" i="6"/>
  <c r="E42" i="6"/>
  <c r="F42" i="6"/>
  <c r="G42" i="6"/>
  <c r="H42" i="6"/>
  <c r="I42" i="6"/>
  <c r="J42" i="6"/>
  <c r="K42" i="6"/>
  <c r="C43" i="6"/>
  <c r="D43" i="6"/>
  <c r="E43" i="6"/>
  <c r="F43" i="6"/>
  <c r="G43" i="6"/>
  <c r="H43" i="6"/>
  <c r="I43" i="6"/>
  <c r="J43" i="6"/>
  <c r="K43" i="6"/>
  <c r="C44" i="6"/>
  <c r="D44" i="6"/>
  <c r="E44" i="6"/>
  <c r="F44" i="6"/>
  <c r="G44" i="6"/>
  <c r="H44" i="6"/>
  <c r="I44" i="6"/>
  <c r="J44" i="6"/>
  <c r="K44" i="6"/>
  <c r="C45" i="6"/>
  <c r="D45" i="6"/>
  <c r="E45" i="6"/>
  <c r="F45" i="6"/>
  <c r="G45" i="6"/>
  <c r="H45" i="6"/>
  <c r="I45" i="6"/>
  <c r="J45" i="6"/>
  <c r="K45" i="6"/>
  <c r="C46" i="6"/>
  <c r="D46" i="6"/>
  <c r="E46" i="6"/>
  <c r="F46" i="6"/>
  <c r="G46" i="6"/>
  <c r="H46" i="6"/>
  <c r="I46" i="6"/>
  <c r="J46" i="6"/>
  <c r="K46" i="6"/>
  <c r="C47" i="6"/>
  <c r="D47" i="6"/>
  <c r="E47" i="6"/>
  <c r="F47" i="6"/>
  <c r="G47" i="6"/>
  <c r="H47" i="6"/>
  <c r="I47" i="6"/>
  <c r="J47" i="6"/>
  <c r="K47" i="6"/>
  <c r="C48" i="6"/>
  <c r="D48" i="6"/>
  <c r="E48" i="6"/>
  <c r="F48" i="6"/>
  <c r="G48" i="6"/>
  <c r="H48" i="6"/>
  <c r="I48" i="6"/>
  <c r="J48" i="6"/>
  <c r="K48" i="6"/>
  <c r="C49" i="6"/>
  <c r="D49" i="6"/>
  <c r="E49" i="6"/>
  <c r="F49" i="6"/>
  <c r="G49" i="6"/>
  <c r="H49" i="6"/>
  <c r="I49" i="6"/>
  <c r="J49" i="6"/>
  <c r="K49" i="6"/>
  <c r="C50" i="6"/>
  <c r="D50" i="6"/>
  <c r="E50" i="6"/>
  <c r="F50" i="6"/>
  <c r="G50" i="6"/>
  <c r="H50" i="6"/>
  <c r="I50" i="6"/>
  <c r="J50" i="6"/>
  <c r="K50"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C60" i="6"/>
  <c r="D60" i="6"/>
  <c r="E60" i="6"/>
  <c r="F60" i="6"/>
  <c r="G60" i="6"/>
  <c r="H60" i="6"/>
  <c r="I60" i="6"/>
  <c r="J60" i="6"/>
  <c r="K60" i="6"/>
  <c r="C61" i="6"/>
  <c r="D61" i="6"/>
  <c r="E61" i="6"/>
  <c r="F61" i="6"/>
  <c r="G61" i="6"/>
  <c r="H61" i="6"/>
  <c r="I61" i="6"/>
  <c r="J61" i="6"/>
  <c r="K61" i="6"/>
  <c r="C62" i="6"/>
  <c r="D62" i="6"/>
  <c r="E62" i="6"/>
  <c r="F62" i="6"/>
  <c r="G62" i="6"/>
  <c r="H62" i="6"/>
  <c r="I62" i="6"/>
  <c r="J62" i="6"/>
  <c r="K62" i="6"/>
  <c r="C63" i="6"/>
  <c r="D63" i="6"/>
  <c r="E63" i="6"/>
  <c r="F63" i="6"/>
  <c r="G63" i="6"/>
  <c r="H63" i="6"/>
  <c r="I63" i="6"/>
  <c r="J63" i="6"/>
  <c r="K63" i="6"/>
  <c r="C64" i="6"/>
  <c r="D64" i="6"/>
  <c r="E64" i="6"/>
  <c r="F64" i="6"/>
  <c r="G64" i="6"/>
  <c r="H64" i="6"/>
  <c r="I64" i="6"/>
  <c r="J64" i="6"/>
  <c r="K64" i="6"/>
  <c r="C65" i="6"/>
  <c r="D65" i="6"/>
  <c r="E65" i="6"/>
  <c r="F65" i="6"/>
  <c r="G65" i="6"/>
  <c r="H65" i="6"/>
  <c r="I65" i="6"/>
  <c r="J65" i="6"/>
  <c r="K65" i="6"/>
  <c r="C66" i="6"/>
  <c r="D66" i="6"/>
  <c r="E66" i="6"/>
  <c r="F66" i="6"/>
  <c r="G66" i="6"/>
  <c r="H66" i="6"/>
  <c r="I66" i="6"/>
  <c r="J66" i="6"/>
  <c r="K66" i="6"/>
  <c r="C67" i="6"/>
  <c r="D67" i="6"/>
  <c r="E67" i="6"/>
  <c r="F67" i="6"/>
  <c r="G67" i="6"/>
  <c r="H67" i="6"/>
  <c r="I67" i="6"/>
  <c r="J67" i="6"/>
  <c r="K67" i="6"/>
  <c r="C68" i="6"/>
  <c r="D68" i="6"/>
  <c r="E68" i="6"/>
  <c r="F68" i="6"/>
  <c r="G68" i="6"/>
  <c r="H68" i="6"/>
  <c r="I68" i="6"/>
  <c r="J68" i="6"/>
  <c r="K68" i="6"/>
  <c r="D9" i="6"/>
  <c r="E9" i="6"/>
  <c r="F9" i="6"/>
  <c r="G9" i="6"/>
  <c r="H9" i="6"/>
  <c r="I9" i="6"/>
  <c r="J9" i="6"/>
  <c r="K9" i="6"/>
  <c r="C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9" i="6"/>
  <c r="B176" i="11" l="1"/>
  <c r="B175" i="11"/>
  <c r="B174" i="11"/>
  <c r="B173" i="11"/>
  <c r="B172" i="11"/>
  <c r="B171" i="11"/>
  <c r="B170" i="11"/>
  <c r="B169" i="11"/>
  <c r="B168" i="11"/>
  <c r="B167" i="11"/>
  <c r="B166" i="11"/>
  <c r="B165" i="11"/>
  <c r="B164" i="11"/>
  <c r="B163" i="11"/>
  <c r="B162" i="11"/>
  <c r="B161" i="11"/>
  <c r="B160" i="11"/>
  <c r="B159" i="11"/>
  <c r="B158" i="11"/>
  <c r="B157" i="11"/>
  <c r="B156" i="11"/>
  <c r="B154" i="11"/>
  <c r="B153" i="11"/>
  <c r="B152" i="11"/>
  <c r="B151" i="11"/>
  <c r="B150" i="11"/>
  <c r="B149" i="11"/>
  <c r="B148" i="11"/>
  <c r="B147" i="11"/>
  <c r="B146" i="11"/>
  <c r="B145" i="11"/>
  <c r="B144" i="11"/>
  <c r="B143" i="11"/>
  <c r="B142" i="11"/>
  <c r="B141" i="11"/>
  <c r="B140" i="11"/>
  <c r="B139" i="11"/>
  <c r="B138" i="11"/>
  <c r="B137" i="11"/>
  <c r="B136" i="11"/>
  <c r="B135" i="11"/>
  <c r="B134" i="11"/>
  <c r="B113" i="11"/>
  <c r="B114" i="11"/>
  <c r="B115" i="11"/>
  <c r="B116" i="11"/>
  <c r="B117" i="11"/>
  <c r="B118" i="11"/>
  <c r="B119" i="11"/>
  <c r="B120" i="11"/>
  <c r="B121" i="11"/>
  <c r="B122" i="11"/>
  <c r="B123" i="11"/>
  <c r="B124" i="11"/>
  <c r="B125" i="11"/>
  <c r="B126" i="11"/>
  <c r="B127" i="11"/>
  <c r="B128" i="11"/>
  <c r="B129" i="11"/>
  <c r="B130" i="11"/>
  <c r="B131" i="11"/>
  <c r="B132" i="11"/>
  <c r="B112" i="11"/>
  <c r="B25" i="11"/>
  <c r="B110" i="11"/>
  <c r="B109" i="11"/>
  <c r="B108" i="11"/>
  <c r="B107" i="11"/>
  <c r="B106" i="11"/>
  <c r="B105" i="11"/>
  <c r="B104" i="11"/>
  <c r="B103" i="11"/>
  <c r="B102" i="11"/>
  <c r="B101" i="11"/>
  <c r="B100" i="11"/>
  <c r="B99" i="11"/>
  <c r="B98" i="11"/>
  <c r="B97" i="11"/>
  <c r="B96" i="11"/>
  <c r="B95" i="11"/>
  <c r="B94" i="11"/>
  <c r="B93" i="11"/>
  <c r="B92" i="11"/>
  <c r="B91" i="11"/>
  <c r="B90" i="11"/>
  <c r="B24" i="11"/>
  <c r="B88" i="11"/>
  <c r="B87" i="11"/>
  <c r="B86" i="11"/>
  <c r="B85" i="11"/>
  <c r="B84" i="11"/>
  <c r="B83" i="11"/>
  <c r="B82" i="11"/>
  <c r="B81" i="11"/>
  <c r="B80" i="11"/>
  <c r="B79" i="11"/>
  <c r="B78" i="11"/>
  <c r="B77" i="11"/>
  <c r="B76" i="11"/>
  <c r="B75" i="11"/>
  <c r="B74" i="11"/>
  <c r="B73" i="11"/>
  <c r="B72" i="11"/>
  <c r="B71" i="11"/>
  <c r="B70" i="11"/>
  <c r="B69" i="11"/>
  <c r="B68" i="11"/>
  <c r="B47" i="11"/>
  <c r="B48" i="11"/>
  <c r="B49" i="11"/>
  <c r="B50" i="11"/>
  <c r="B51" i="11"/>
  <c r="B52" i="11"/>
  <c r="B53" i="11"/>
  <c r="B54" i="11"/>
  <c r="B55" i="11"/>
  <c r="B56" i="11"/>
  <c r="B57" i="11"/>
  <c r="B58" i="11"/>
  <c r="B59" i="11"/>
  <c r="B60" i="11"/>
  <c r="B61" i="11"/>
  <c r="B62" i="11"/>
  <c r="B63" i="11"/>
  <c r="B64" i="11"/>
  <c r="B65" i="11"/>
  <c r="B66" i="11"/>
  <c r="B46" i="11"/>
  <c r="B4" i="11"/>
  <c r="B5" i="11"/>
  <c r="B6" i="11"/>
  <c r="B7" i="11"/>
  <c r="B8" i="11"/>
  <c r="B9" i="11"/>
  <c r="B10" i="11"/>
  <c r="B11" i="11"/>
  <c r="B12" i="11"/>
  <c r="B13" i="11"/>
  <c r="B14" i="11"/>
  <c r="B15" i="11"/>
  <c r="B16" i="11"/>
  <c r="B17" i="11"/>
  <c r="B18" i="11"/>
  <c r="B19" i="11"/>
  <c r="B20" i="11"/>
  <c r="B21" i="11"/>
  <c r="B22" i="11"/>
  <c r="B3" i="11"/>
  <c r="B43" i="11" l="1"/>
  <c r="B44" i="11"/>
  <c r="B26" i="11"/>
  <c r="B27" i="11"/>
  <c r="B28" i="11"/>
  <c r="B29" i="11"/>
  <c r="B30" i="11"/>
  <c r="B31" i="11"/>
  <c r="B32" i="11"/>
  <c r="B33" i="11"/>
  <c r="B34" i="11"/>
  <c r="B35" i="11"/>
  <c r="B36" i="11"/>
  <c r="B37" i="11"/>
  <c r="B38" i="11"/>
  <c r="B39" i="11"/>
  <c r="B40" i="11"/>
  <c r="B41" i="11"/>
  <c r="B42" i="11"/>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9" i="6"/>
</calcChain>
</file>

<file path=xl/sharedStrings.xml><?xml version="1.0" encoding="utf-8"?>
<sst xmlns="http://schemas.openxmlformats.org/spreadsheetml/2006/main" count="206" uniqueCount="74">
  <si>
    <t>each</t>
  </si>
  <si>
    <t>MTS</t>
  </si>
  <si>
    <t>OTS</t>
  </si>
  <si>
    <t>inch</t>
  </si>
  <si>
    <t>Revision</t>
  </si>
  <si>
    <t>Part Name</t>
  </si>
  <si>
    <t>BOM Level</t>
  </si>
  <si>
    <t>Part Number</t>
  </si>
  <si>
    <t>Phase</t>
  </si>
  <si>
    <t>Description</t>
  </si>
  <si>
    <t>Quantity</t>
  </si>
  <si>
    <t>Unit of Measure</t>
  </si>
  <si>
    <t>Procurement Type</t>
  </si>
  <si>
    <t>Reference Designators</t>
  </si>
  <si>
    <t>BOM Notes</t>
  </si>
  <si>
    <t>Part number lists the unique company part number. Do not place manufacturers part numbers here.</t>
  </si>
  <si>
    <t>Part Name is the unique part name.</t>
  </si>
  <si>
    <t>Revision is the revision of the part used in this assembly.</t>
  </si>
  <si>
    <t>A detailed description of the part.</t>
  </si>
  <si>
    <t>Multi-Level BOM Example</t>
  </si>
  <si>
    <t>This example shows a multi-level BOM for a GPS product. Each subassembly is listed along with the components that make up that subassembly. Ann individual part may be listed in the BOM multiple times if it is included in more than one subassembly.</t>
  </si>
  <si>
    <t>Commonly, the number of parts needed in the assembly or subassembly. However, when used with the unit of measure, it can describe the amount of something needed- like 2 inches or 3 pints.</t>
  </si>
  <si>
    <t>Unit of measure describes how you use or buy the part. Most commonly UOM is each, but it can also be  standard measures like feet, inches, pints, drops, box…</t>
  </si>
  <si>
    <t>Describes how the part is bought/made. OTS - Off-the-Shelf or MTS - Made-to-Specification</t>
  </si>
  <si>
    <t>Used with PCBAs, this lists the location on the board of the part on the BOM.</t>
  </si>
  <si>
    <t>This is an open note field to describe part information which is specific to this BOM.</t>
  </si>
  <si>
    <t>Summary of Changes Made</t>
  </si>
  <si>
    <t>Approval Date</t>
  </si>
  <si>
    <t>Approval Date:</t>
  </si>
  <si>
    <t>Phase describes where this part is in the lifecycle. For products in production, this will generally be 'In Production', however for new parts which have not been approved these may be listed as 'Unreleased' or 'In Design'.</t>
  </si>
  <si>
    <t>BOM Level shows the hierarchy of the parts and assemblies sin the BOM. Level 0 (zero) is the top assembly being described.</t>
  </si>
  <si>
    <t>Column Name</t>
  </si>
  <si>
    <t>Content Description</t>
  </si>
  <si>
    <t>Example BOM courtesy of Arena                                                                                                                                                                   Visit us at http://www.arenasolutions.com</t>
  </si>
  <si>
    <t>Project Number:</t>
  </si>
  <si>
    <t>Proj.</t>
  </si>
  <si>
    <t>Project Name:</t>
  </si>
  <si>
    <t>BOM Revision:</t>
  </si>
  <si>
    <t>0A(WIP)</t>
  </si>
  <si>
    <t>Supplier</t>
  </si>
  <si>
    <t>Supplier PN</t>
  </si>
  <si>
    <t>Cost</t>
  </si>
  <si>
    <t>Quoted Quantity</t>
  </si>
  <si>
    <t>P001</t>
  </si>
  <si>
    <t>Pickup Winder</t>
  </si>
  <si>
    <t xml:space="preserve">200 Level </t>
  </si>
  <si>
    <t xml:space="preserve">100 Level </t>
  </si>
  <si>
    <t xml:space="preserve">000 Level </t>
  </si>
  <si>
    <t>Assembly</t>
  </si>
  <si>
    <t>Machined</t>
  </si>
  <si>
    <t>Change Note</t>
  </si>
  <si>
    <t xml:space="preserve">300 Level </t>
  </si>
  <si>
    <t>Sheet Metal</t>
  </si>
  <si>
    <t xml:space="preserve">400 Level </t>
  </si>
  <si>
    <t xml:space="preserve">500 Level </t>
  </si>
  <si>
    <t>Plastics</t>
  </si>
  <si>
    <t>Electronics</t>
  </si>
  <si>
    <t>Procured</t>
  </si>
  <si>
    <t xml:space="preserve">600 Level </t>
  </si>
  <si>
    <t>Tooling</t>
  </si>
  <si>
    <t>Documentation</t>
  </si>
  <si>
    <t xml:space="preserve">700 Level </t>
  </si>
  <si>
    <t>Link</t>
  </si>
  <si>
    <t>Manufacturer Part Number</t>
  </si>
  <si>
    <t>Manufacturer</t>
  </si>
  <si>
    <t>Electrical Enclosure S.A.</t>
  </si>
  <si>
    <t>Winder Assembly S.A.</t>
  </si>
  <si>
    <t>0AWIP)</t>
  </si>
  <si>
    <t>Released Revision</t>
  </si>
  <si>
    <t>Release Date</t>
  </si>
  <si>
    <t>Working Revision</t>
  </si>
  <si>
    <t>PCB Assembly</t>
  </si>
  <si>
    <t>Client Name:</t>
  </si>
  <si>
    <t>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</si>
</sst>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409]d\-mmm\-yy;@"/>
    <numFmt numFmtId="165" formatCode="000"/>
  </numFmts>
  <fonts count="27" x14ac:knownFonts="1">
    <font>
      <sz val="11"/>
      <color theme="1"/>
      <name val="Calibri"/>
      <family val="2"/>
      <scheme val="minor"/>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2"/>
      <color theme="1"/>
      <name val="Calibri"/>
      <family val="2"/>
      <scheme val="minor"/>
    </font>
    <font>
      <sz val="12"/>
      <color theme="1"/>
      <name val="Calibri"/>
      <family val="2"/>
      <scheme val="minor"/>
    </font>
    <font>
      <b/>
      <sz val="10"/>
      <color theme="1"/>
      <name val="Arial"/>
      <family val="2"/>
    </font>
    <font>
      <sz val="18"/>
      <color theme="1" tint="0.249977111117893"/>
      <name val="Calibri"/>
      <family val="2"/>
      <scheme val="minor"/>
    </font>
    <font>
      <sz val="18"/>
      <color theme="1"/>
      <name val="Calibri"/>
      <family val="2"/>
      <scheme val="minor"/>
    </font>
    <font>
      <sz val="11"/>
      <color rgb="FF000000"/>
      <name val="Calibri"/>
      <family val="2"/>
      <scheme val="minor"/>
    </font>
    <font>
      <b/>
      <sz val="11"/>
      <name val="Calibri"/>
      <family val="2"/>
      <scheme val="minor"/>
    </font>
    <font>
      <sz val="11"/>
      <name val="Calibri"/>
      <family val="2"/>
      <scheme val="minor"/>
    </font>
  </fonts>
  <fills count="3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0"/>
        <bgColor indexed="64"/>
      </patternFill>
    </fill>
  </fills>
  <borders count="34">
    <border>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bottom style="double">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right style="thin">
        <color rgb="FF7F7F7F"/>
      </right>
      <top style="medium">
        <color indexed="64"/>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top style="thick">
        <color theme="4"/>
      </top>
      <bottom style="thick">
        <color theme="4" tint="0.499984740745262"/>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18" applyNumberFormat="0" applyAlignment="0" applyProtection="0"/>
    <xf numFmtId="0" fontId="5" fillId="28" borderId="19" applyNumberFormat="0" applyAlignment="0" applyProtection="0"/>
    <xf numFmtId="44" fontId="1" fillId="0" borderId="0" applyFont="0" applyFill="0" applyBorder="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20" applyNumberFormat="0" applyFill="0" applyAlignment="0" applyProtection="0"/>
    <xf numFmtId="0" fontId="9" fillId="0" borderId="21" applyNumberFormat="0" applyFill="0" applyAlignment="0" applyProtection="0"/>
    <xf numFmtId="0" fontId="10" fillId="0" borderId="22" applyNumberFormat="0" applyFill="0" applyAlignment="0" applyProtection="0"/>
    <xf numFmtId="0" fontId="10" fillId="0" borderId="0" applyNumberFormat="0" applyFill="0" applyBorder="0" applyAlignment="0" applyProtection="0"/>
    <xf numFmtId="0" fontId="11" fillId="0" borderId="0" applyNumberFormat="0" applyFill="0" applyBorder="0" applyAlignment="0" applyProtection="0">
      <alignment vertical="top"/>
      <protection locked="0"/>
    </xf>
    <xf numFmtId="0" fontId="12" fillId="30" borderId="18" applyNumberFormat="0" applyAlignment="0" applyProtection="0"/>
    <xf numFmtId="0" fontId="13" fillId="0" borderId="23" applyNumberFormat="0" applyFill="0" applyAlignment="0" applyProtection="0"/>
    <xf numFmtId="0" fontId="14" fillId="31" borderId="0" applyNumberFormat="0" applyBorder="0" applyAlignment="0" applyProtection="0"/>
    <xf numFmtId="0" fontId="1" fillId="32" borderId="24" applyNumberFormat="0" applyFont="0" applyAlignment="0" applyProtection="0"/>
    <xf numFmtId="0" fontId="15" fillId="27" borderId="25" applyNumberFormat="0" applyAlignment="0" applyProtection="0"/>
    <xf numFmtId="0" fontId="16" fillId="0" borderId="0" applyNumberFormat="0" applyFill="0" applyBorder="0" applyAlignment="0" applyProtection="0"/>
    <xf numFmtId="0" fontId="17" fillId="0" borderId="26" applyNumberFormat="0" applyFill="0" applyAlignment="0" applyProtection="0"/>
    <xf numFmtId="0" fontId="18" fillId="0" borderId="0" applyNumberFormat="0" applyFill="0" applyBorder="0" applyAlignment="0" applyProtection="0"/>
  </cellStyleXfs>
  <cellXfs count="100">
    <xf numFmtId="0" fontId="0" fillId="0" borderId="0" xfId="0"/>
    <xf numFmtId="0" fontId="17" fillId="0" borderId="0" xfId="0" applyFont="1" applyAlignment="1">
      <alignment horizontal="center" wrapText="1"/>
    </xf>
    <xf numFmtId="0" fontId="17" fillId="0" borderId="0" xfId="0" applyFont="1" applyAlignment="1">
      <alignment wrapText="1"/>
    </xf>
    <xf numFmtId="0" fontId="0" fillId="0" borderId="0" xfId="0" applyAlignment="1">
      <alignment wrapText="1"/>
    </xf>
    <xf numFmtId="0" fontId="0" fillId="0" borderId="0" xfId="0" applyFont="1" applyAlignment="1">
      <alignment horizontal="left" wrapText="1"/>
    </xf>
    <xf numFmtId="0" fontId="17" fillId="0" borderId="0" xfId="0" applyFont="1" applyAlignment="1">
      <alignment horizontal="left" wrapText="1"/>
    </xf>
    <xf numFmtId="0" fontId="17"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wrapText="1"/>
    </xf>
    <xf numFmtId="49" fontId="17" fillId="0" borderId="1" xfId="0" applyNumberFormat="1" applyFont="1" applyBorder="1" applyAlignment="1">
      <alignment horizontal="center"/>
    </xf>
    <xf numFmtId="0" fontId="17" fillId="0" borderId="1" xfId="0" applyFont="1" applyBorder="1" applyAlignment="1">
      <alignment wrapText="1"/>
    </xf>
    <xf numFmtId="164" fontId="17" fillId="0" borderId="1" xfId="0" applyNumberFormat="1" applyFont="1" applyBorder="1" applyAlignment="1">
      <alignment horizontal="center"/>
    </xf>
    <xf numFmtId="0" fontId="17" fillId="0" borderId="0" xfId="0" applyFont="1"/>
    <xf numFmtId="49" fontId="0" fillId="0" borderId="2" xfId="0" quotePrefix="1" applyNumberFormat="1" applyBorder="1" applyAlignment="1">
      <alignment horizontal="center"/>
    </xf>
    <xf numFmtId="0" fontId="0" fillId="0" borderId="2" xfId="0" applyBorder="1" applyAlignment="1">
      <alignment wrapText="1"/>
    </xf>
    <xf numFmtId="164" fontId="0" fillId="0" borderId="2" xfId="0" applyNumberFormat="1" applyBorder="1" applyAlignment="1">
      <alignment horizontal="center"/>
    </xf>
    <xf numFmtId="49" fontId="0" fillId="0" borderId="3" xfId="0" applyNumberFormat="1" applyBorder="1" applyAlignment="1">
      <alignment horizontal="center"/>
    </xf>
    <xf numFmtId="0" fontId="0" fillId="0" borderId="3" xfId="0" applyBorder="1" applyAlignment="1">
      <alignment wrapText="1"/>
    </xf>
    <xf numFmtId="164" fontId="0" fillId="0" borderId="3" xfId="0" applyNumberFormat="1" applyBorder="1"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0" fontId="0" fillId="0" borderId="3" xfId="0" applyBorder="1" applyAlignment="1">
      <alignment horizontal="center"/>
    </xf>
    <xf numFmtId="0" fontId="0" fillId="0" borderId="3" xfId="0" applyBorder="1"/>
    <xf numFmtId="0" fontId="0" fillId="0" borderId="0" xfId="0" applyBorder="1" applyAlignment="1">
      <alignment horizontal="center"/>
    </xf>
    <xf numFmtId="0" fontId="0" fillId="0" borderId="0" xfId="0" applyBorder="1" applyAlignment="1">
      <alignment wrapText="1"/>
    </xf>
    <xf numFmtId="0" fontId="0" fillId="0" borderId="0" xfId="0" applyBorder="1"/>
    <xf numFmtId="0" fontId="0" fillId="0" borderId="0" xfId="0" applyFill="1" applyBorder="1" applyAlignment="1">
      <alignment horizontal="center"/>
    </xf>
    <xf numFmtId="0" fontId="0" fillId="0" borderId="0" xfId="0" applyFill="1" applyBorder="1" applyAlignment="1">
      <alignment wrapText="1"/>
    </xf>
    <xf numFmtId="0" fontId="0" fillId="0" borderId="0" xfId="0" applyFill="1" applyBorder="1"/>
    <xf numFmtId="0" fontId="0" fillId="0" borderId="3" xfId="0" applyFill="1" applyBorder="1" applyAlignment="1">
      <alignment wrapText="1"/>
    </xf>
    <xf numFmtId="0" fontId="17" fillId="0" borderId="0" xfId="0" applyFont="1" applyFill="1" applyBorder="1" applyAlignment="1">
      <alignment wrapText="1"/>
    </xf>
    <xf numFmtId="0" fontId="0" fillId="0" borderId="5" xfId="0" applyBorder="1"/>
    <xf numFmtId="0" fontId="0" fillId="0" borderId="4" xfId="0" applyBorder="1" applyAlignment="1">
      <alignment horizontal="center"/>
    </xf>
    <xf numFmtId="0" fontId="0" fillId="0" borderId="4" xfId="0" applyBorder="1" applyAlignment="1">
      <alignment wrapText="1"/>
    </xf>
    <xf numFmtId="0" fontId="0" fillId="0" borderId="6" xfId="0" applyBorder="1"/>
    <xf numFmtId="0" fontId="11" fillId="0" borderId="0" xfId="35" applyBorder="1" applyAlignment="1" applyProtection="1">
      <alignment wrapText="1"/>
    </xf>
    <xf numFmtId="0" fontId="19" fillId="0" borderId="0" xfId="0" applyFont="1" applyBorder="1" applyAlignment="1">
      <alignment horizontal="center" vertical="center"/>
    </xf>
    <xf numFmtId="0" fontId="0" fillId="34" borderId="11" xfId="0" applyFill="1" applyBorder="1"/>
    <xf numFmtId="0" fontId="0" fillId="34" borderId="0" xfId="0" applyFill="1" applyBorder="1"/>
    <xf numFmtId="0" fontId="21" fillId="0" borderId="17" xfId="0" applyFont="1" applyFill="1" applyBorder="1" applyAlignment="1">
      <alignment wrapText="1"/>
    </xf>
    <xf numFmtId="0" fontId="17" fillId="0" borderId="17" xfId="0" applyFont="1" applyBorder="1" applyAlignment="1">
      <alignment horizontal="left" wrapText="1"/>
    </xf>
    <xf numFmtId="0" fontId="22" fillId="0" borderId="0" xfId="0" applyFont="1" applyFill="1" applyBorder="1" applyAlignment="1">
      <alignment horizontal="left" wrapText="1"/>
    </xf>
    <xf numFmtId="0" fontId="20" fillId="0" borderId="3" xfId="0" applyFont="1" applyBorder="1" applyAlignment="1">
      <alignment horizontal="center" vertical="center"/>
    </xf>
    <xf numFmtId="0" fontId="0" fillId="34" borderId="10" xfId="0" applyFill="1" applyBorder="1" applyAlignment="1">
      <alignment horizontal="center"/>
    </xf>
    <xf numFmtId="0" fontId="19" fillId="34" borderId="11" xfId="0" applyFont="1" applyFill="1" applyBorder="1" applyAlignment="1">
      <alignment horizontal="center" vertical="center"/>
    </xf>
    <xf numFmtId="0" fontId="19" fillId="34" borderId="11" xfId="0" applyFont="1" applyFill="1" applyBorder="1" applyAlignment="1">
      <alignment horizontal="left"/>
    </xf>
    <xf numFmtId="0" fontId="17" fillId="34" borderId="11" xfId="0" applyFont="1" applyFill="1" applyBorder="1" applyAlignment="1">
      <alignment horizontal="left"/>
    </xf>
    <xf numFmtId="0" fontId="0" fillId="34" borderId="11" xfId="0" applyFill="1" applyBorder="1" applyAlignment="1">
      <alignment horizontal="center"/>
    </xf>
    <xf numFmtId="0" fontId="0" fillId="34" borderId="14" xfId="0" applyFill="1" applyBorder="1" applyAlignment="1">
      <alignment wrapText="1"/>
    </xf>
    <xf numFmtId="0" fontId="0" fillId="34" borderId="12" xfId="0" applyFill="1" applyBorder="1" applyAlignment="1">
      <alignment horizontal="center"/>
    </xf>
    <xf numFmtId="0" fontId="19" fillId="34" borderId="0" xfId="0" applyFont="1" applyFill="1" applyBorder="1" applyAlignment="1">
      <alignment horizontal="center" vertical="center"/>
    </xf>
    <xf numFmtId="0" fontId="0" fillId="34" borderId="0" xfId="0" applyFill="1" applyBorder="1" applyAlignment="1">
      <alignment horizontal="center"/>
    </xf>
    <xf numFmtId="0" fontId="0" fillId="34" borderId="15" xfId="0" applyFill="1" applyBorder="1" applyAlignment="1">
      <alignment wrapText="1"/>
    </xf>
    <xf numFmtId="0" fontId="0" fillId="34" borderId="13" xfId="0" applyFill="1" applyBorder="1" applyAlignment="1">
      <alignment horizontal="center"/>
    </xf>
    <xf numFmtId="0" fontId="19" fillId="34" borderId="9" xfId="0" applyFont="1" applyFill="1" applyBorder="1" applyAlignment="1">
      <alignment horizontal="center" vertical="center"/>
    </xf>
    <xf numFmtId="0" fontId="0" fillId="34" borderId="9" xfId="0" applyFill="1" applyBorder="1"/>
    <xf numFmtId="0" fontId="0" fillId="34" borderId="9" xfId="0" applyFill="1" applyBorder="1" applyAlignment="1">
      <alignment horizontal="center"/>
    </xf>
    <xf numFmtId="0" fontId="0" fillId="34" borderId="16" xfId="0" applyFill="1" applyBorder="1" applyAlignment="1">
      <alignment wrapText="1"/>
    </xf>
    <xf numFmtId="4" fontId="0" fillId="0" borderId="0" xfId="0" applyNumberFormat="1"/>
    <xf numFmtId="0" fontId="0" fillId="0" borderId="0" xfId="0" applyAlignment="1">
      <alignment horizontal="center" vertical="center"/>
    </xf>
    <xf numFmtId="44" fontId="0" fillId="0" borderId="0" xfId="28" applyFont="1"/>
    <xf numFmtId="165" fontId="0" fillId="0" borderId="0" xfId="0" quotePrefix="1" applyNumberFormat="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0" xfId="0" applyNumberFormat="1" applyBorder="1" applyAlignment="1">
      <alignment horizontal="center"/>
    </xf>
    <xf numFmtId="4" fontId="0" fillId="0" borderId="0" xfId="0" applyNumberFormat="1" applyAlignment="1">
      <alignment horizontal="center"/>
    </xf>
    <xf numFmtId="0" fontId="8" fillId="0" borderId="20" xfId="31"/>
    <xf numFmtId="0" fontId="9" fillId="0" borderId="21" xfId="32"/>
    <xf numFmtId="0" fontId="9" fillId="0" borderId="21" xfId="32" applyAlignment="1">
      <alignment horizontal="center"/>
    </xf>
    <xf numFmtId="0" fontId="9" fillId="0" borderId="21" xfId="32" applyAlignment="1"/>
    <xf numFmtId="0" fontId="24" fillId="0" borderId="0" xfId="0" applyFont="1" applyAlignment="1">
      <alignment horizontal="center" vertical="center"/>
    </xf>
    <xf numFmtId="0" fontId="24" fillId="0" borderId="0" xfId="0" applyFont="1"/>
    <xf numFmtId="44" fontId="24" fillId="0" borderId="0" xfId="0" applyNumberFormat="1" applyFont="1"/>
    <xf numFmtId="0" fontId="23" fillId="0" borderId="0" xfId="0" applyFont="1" applyAlignment="1">
      <alignment wrapText="1"/>
    </xf>
    <xf numFmtId="0" fontId="17" fillId="34" borderId="0" xfId="0" applyFont="1" applyFill="1" applyBorder="1" applyAlignment="1">
      <alignment horizontal="left"/>
    </xf>
    <xf numFmtId="15" fontId="17" fillId="34" borderId="9" xfId="0" applyNumberFormat="1" applyFont="1" applyFill="1" applyBorder="1" applyAlignment="1">
      <alignment horizontal="left"/>
    </xf>
    <xf numFmtId="0" fontId="9" fillId="0" borderId="21" xfId="32" applyAlignment="1">
      <alignment horizontal="left"/>
    </xf>
    <xf numFmtId="0" fontId="22" fillId="0" borderId="0" xfId="0" applyFont="1" applyFill="1" applyBorder="1" applyAlignment="1">
      <alignment horizontal="left" wrapText="1"/>
    </xf>
    <xf numFmtId="0" fontId="26" fillId="0" borderId="0" xfId="0" applyFont="1" applyBorder="1" applyAlignment="1">
      <alignment horizontal="center"/>
    </xf>
    <xf numFmtId="0" fontId="4" fillId="27" borderId="28" xfId="26" applyBorder="1" applyAlignment="1">
      <alignment horizontal="center" vertical="center" wrapText="1"/>
    </xf>
    <xf numFmtId="0" fontId="4" fillId="27" borderId="18" xfId="26" applyBorder="1" applyAlignment="1">
      <alignment horizontal="center" vertical="center"/>
    </xf>
    <xf numFmtId="0" fontId="20" fillId="0" borderId="4" xfId="0" applyFont="1" applyBorder="1" applyAlignment="1">
      <alignment horizontal="center" vertical="center"/>
    </xf>
    <xf numFmtId="0" fontId="0" fillId="0" borderId="4" xfId="0" applyBorder="1"/>
    <xf numFmtId="0" fontId="19" fillId="33" borderId="7" xfId="0" applyFont="1" applyFill="1" applyBorder="1" applyAlignment="1">
      <alignment horizontal="center" vertical="center"/>
    </xf>
    <xf numFmtId="0" fontId="17" fillId="33" borderId="7" xfId="0" applyFont="1" applyFill="1" applyBorder="1" applyAlignment="1">
      <alignment horizontal="center" vertical="center" wrapText="1"/>
    </xf>
    <xf numFmtId="0" fontId="17" fillId="33" borderId="7" xfId="0" applyFont="1" applyFill="1" applyBorder="1" applyAlignment="1">
      <alignment vertical="center" wrapText="1"/>
    </xf>
    <xf numFmtId="0" fontId="17" fillId="33" borderId="8" xfId="0" applyFont="1" applyFill="1" applyBorder="1" applyAlignment="1">
      <alignment vertical="center" wrapText="1"/>
    </xf>
    <xf numFmtId="0" fontId="17" fillId="33" borderId="7" xfId="0" applyFont="1" applyFill="1" applyBorder="1" applyAlignment="1">
      <alignment horizontal="center" vertical="center"/>
    </xf>
    <xf numFmtId="0" fontId="19" fillId="34" borderId="11" xfId="0" applyFont="1" applyFill="1" applyBorder="1" applyAlignment="1">
      <alignment horizontal="left"/>
    </xf>
    <xf numFmtId="0" fontId="19" fillId="34" borderId="0" xfId="0" applyFont="1" applyFill="1" applyBorder="1" applyAlignment="1">
      <alignment horizontal="left"/>
    </xf>
    <xf numFmtId="0" fontId="19" fillId="34" borderId="9" xfId="0" applyFont="1" applyFill="1" applyBorder="1" applyAlignment="1">
      <alignment horizontal="left"/>
    </xf>
    <xf numFmtId="0" fontId="23" fillId="0" borderId="9" xfId="0" applyFont="1" applyBorder="1" applyAlignment="1">
      <alignment wrapText="1"/>
    </xf>
    <xf numFmtId="0" fontId="0" fillId="0" borderId="9" xfId="0" applyFill="1" applyBorder="1" applyAlignment="1"/>
    <xf numFmtId="0" fontId="25" fillId="27" borderId="30" xfId="26" applyFont="1" applyBorder="1" applyAlignment="1">
      <alignment horizontal="center" wrapText="1"/>
    </xf>
    <xf numFmtId="0" fontId="25" fillId="27" borderId="31" xfId="26" applyFont="1" applyBorder="1" applyAlignment="1">
      <alignment horizontal="center"/>
    </xf>
    <xf numFmtId="0" fontId="25" fillId="27" borderId="32" xfId="26" applyFont="1" applyBorder="1" applyAlignment="1">
      <alignment horizontal="center"/>
    </xf>
    <xf numFmtId="0" fontId="6" fillId="27" borderId="27" xfId="29" applyFill="1" applyBorder="1" applyAlignment="1">
      <alignment horizontal="center" vertical="center" wrapText="1"/>
    </xf>
    <xf numFmtId="0" fontId="6" fillId="27" borderId="29" xfId="29" applyFill="1" applyBorder="1" applyAlignment="1">
      <alignment horizontal="center"/>
    </xf>
    <xf numFmtId="0" fontId="9" fillId="0" borderId="33" xfId="32" applyBorder="1" applyAlignment="1">
      <alignment horizontal="left"/>
    </xf>
    <xf numFmtId="4" fontId="0" fillId="0" borderId="0" xfId="0" applyNumberFormat="1" applyAlignment="1">
      <alignment horizontal="left"/>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1168400</xdr:colOff>
      <xdr:row>0</xdr:row>
      <xdr:rowOff>698500</xdr:rowOff>
    </xdr:to>
    <xdr:pic>
      <xdr:nvPicPr>
        <xdr:cNvPr id="6161" name="Picture 1" descr="arena_logo_transparent_bg.png">
          <a:extLst>
            <a:ext uri="{FF2B5EF4-FFF2-40B4-BE49-F238E27FC236}">
              <a16:creationId xmlns:a16="http://schemas.microsoft.com/office/drawing/2014/main" id="{37DD3B9B-EBC9-BC4B-897C-55A6436A169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900" y="88900"/>
          <a:ext cx="1079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heetPr>
  <dimension ref="A1:U70"/>
  <sheetViews>
    <sheetView zoomScaleNormal="100" workbookViewId="0">
      <pane ySplit="8" topLeftCell="A9" activePane="bottomLeft" state="frozen"/>
      <selection pane="bottomLeft" activeCell="E16" sqref="E16"/>
    </sheetView>
  </sheetViews>
  <sheetFormatPr baseColWidth="10" defaultColWidth="9.1640625" defaultRowHeight="16" x14ac:dyDescent="0.2"/>
  <cols>
    <col min="1" max="2" width="7.5" style="78" customWidth="1"/>
    <col min="3" max="3" width="2.5" style="36" customWidth="1"/>
    <col min="4" max="10" width="4.1640625" style="36" bestFit="1" customWidth="1"/>
    <col min="11" max="11" width="5.33203125" style="36" customWidth="1"/>
    <col min="12" max="12" width="6.83203125" style="36" bestFit="1" customWidth="1"/>
    <col min="13" max="13" width="12.6640625" style="64" bestFit="1" customWidth="1"/>
    <col min="14" max="14" width="9.5" style="25" customWidth="1"/>
    <col min="15" max="15" width="45.83203125" style="23" customWidth="1"/>
    <col min="16" max="17" width="8.83203125" style="23" bestFit="1" customWidth="1"/>
    <col min="18" max="18" width="12.5" style="23" bestFit="1" customWidth="1"/>
    <col min="19" max="19" width="24.33203125" style="24" customWidth="1"/>
    <col min="20" max="20" width="41.33203125" style="25" bestFit="1" customWidth="1"/>
    <col min="21" max="16384" width="9.1640625" style="25"/>
  </cols>
  <sheetData>
    <row r="1" spans="1:21" s="28" customFormat="1" ht="25" thickBot="1" x14ac:dyDescent="0.35">
      <c r="A1" s="92"/>
      <c r="B1" s="92"/>
      <c r="C1" s="92"/>
      <c r="D1" s="92"/>
      <c r="E1" s="92"/>
      <c r="F1" s="92"/>
      <c r="G1" s="91"/>
      <c r="H1" s="91"/>
      <c r="I1" s="91"/>
      <c r="J1" s="91"/>
      <c r="K1" s="91"/>
      <c r="L1" s="91"/>
      <c r="M1" s="91"/>
      <c r="N1" s="91"/>
      <c r="O1" s="91"/>
      <c r="P1" s="91"/>
      <c r="Q1" s="91"/>
      <c r="R1" s="91"/>
      <c r="S1" s="91"/>
      <c r="T1" s="91"/>
    </row>
    <row r="2" spans="1:21" x14ac:dyDescent="0.2">
      <c r="A2" s="43"/>
      <c r="B2" s="47"/>
      <c r="C2" s="44"/>
      <c r="D2" s="44"/>
      <c r="E2" s="44"/>
      <c r="F2" s="44"/>
      <c r="G2" s="44"/>
      <c r="H2" s="44"/>
      <c r="I2" s="88" t="s">
        <v>34</v>
      </c>
      <c r="J2" s="88"/>
      <c r="K2" s="88"/>
      <c r="L2" s="45" t="s">
        <v>43</v>
      </c>
      <c r="M2" s="46"/>
      <c r="N2" s="37"/>
      <c r="O2" s="37"/>
      <c r="P2" s="47"/>
      <c r="Q2" s="47"/>
      <c r="R2" s="47"/>
      <c r="S2" s="47"/>
      <c r="T2" s="48"/>
      <c r="U2" s="27"/>
    </row>
    <row r="3" spans="1:21" x14ac:dyDescent="0.2">
      <c r="A3" s="49"/>
      <c r="B3" s="51"/>
      <c r="C3" s="50"/>
      <c r="D3" s="50"/>
      <c r="E3" s="50"/>
      <c r="F3" s="50"/>
      <c r="G3" s="50"/>
      <c r="H3" s="50"/>
      <c r="I3" s="89" t="s">
        <v>36</v>
      </c>
      <c r="J3" s="89"/>
      <c r="K3" s="89"/>
      <c r="L3" s="74" t="s">
        <v>44</v>
      </c>
      <c r="M3" s="74"/>
      <c r="N3" s="74"/>
      <c r="O3" s="38"/>
      <c r="P3" s="51"/>
      <c r="Q3" s="51"/>
      <c r="R3" s="51"/>
      <c r="S3" s="51"/>
      <c r="T3" s="52"/>
      <c r="U3" s="27"/>
    </row>
    <row r="4" spans="1:21" x14ac:dyDescent="0.2">
      <c r="A4" s="49"/>
      <c r="B4" s="51"/>
      <c r="C4" s="50"/>
      <c r="D4" s="50"/>
      <c r="E4" s="50"/>
      <c r="F4" s="50"/>
      <c r="G4" s="50"/>
      <c r="H4" s="50"/>
      <c r="I4" s="89" t="s">
        <v>72</v>
      </c>
      <c r="J4" s="89"/>
      <c r="K4" s="89"/>
      <c r="L4" s="74"/>
      <c r="M4" s="74"/>
      <c r="N4" s="74"/>
      <c r="O4" s="38"/>
      <c r="P4" s="51"/>
      <c r="Q4" s="51"/>
      <c r="R4" s="51"/>
      <c r="S4" s="51"/>
      <c r="T4" s="52"/>
      <c r="U4" s="27"/>
    </row>
    <row r="5" spans="1:21" x14ac:dyDescent="0.2">
      <c r="A5" s="49"/>
      <c r="B5" s="51"/>
      <c r="C5" s="50"/>
      <c r="D5" s="50"/>
      <c r="E5" s="50"/>
      <c r="F5" s="50"/>
      <c r="G5" s="50"/>
      <c r="H5" s="50"/>
      <c r="I5" s="89" t="s">
        <v>37</v>
      </c>
      <c r="J5" s="89"/>
      <c r="K5" s="89"/>
      <c r="L5" s="74" t="s">
        <v>38</v>
      </c>
      <c r="M5" s="74"/>
      <c r="N5" s="74"/>
      <c r="O5" s="38"/>
      <c r="P5" s="51"/>
      <c r="Q5" s="51"/>
      <c r="R5" s="51"/>
      <c r="S5" s="51"/>
      <c r="T5" s="52"/>
      <c r="U5" s="27"/>
    </row>
    <row r="6" spans="1:21" ht="17" thickBot="1" x14ac:dyDescent="0.25">
      <c r="A6" s="53"/>
      <c r="B6" s="56"/>
      <c r="C6" s="54"/>
      <c r="D6" s="54"/>
      <c r="E6" s="54"/>
      <c r="F6" s="54"/>
      <c r="G6" s="54"/>
      <c r="H6" s="54"/>
      <c r="I6" s="90" t="s">
        <v>28</v>
      </c>
      <c r="J6" s="90"/>
      <c r="K6" s="90"/>
      <c r="L6" s="75">
        <v>43711</v>
      </c>
      <c r="M6" s="75"/>
      <c r="N6" s="75"/>
      <c r="O6" s="55"/>
      <c r="P6" s="56"/>
      <c r="Q6" s="56"/>
      <c r="R6" s="56"/>
      <c r="S6" s="56"/>
      <c r="T6" s="57"/>
      <c r="U6" s="27"/>
    </row>
    <row r="7" spans="1:21" ht="17" thickBot="1" x14ac:dyDescent="0.25">
      <c r="A7" s="23"/>
      <c r="B7" s="23"/>
      <c r="M7" s="23"/>
    </row>
    <row r="8" spans="1:21" s="30" customFormat="1" ht="32" x14ac:dyDescent="0.2">
      <c r="A8" s="96" t="s">
        <v>73</v>
      </c>
      <c r="B8" s="93" t="s">
        <v>6</v>
      </c>
      <c r="C8" s="79">
        <v>0</v>
      </c>
      <c r="D8" s="79">
        <v>1</v>
      </c>
      <c r="E8" s="79">
        <v>2</v>
      </c>
      <c r="F8" s="79">
        <v>3</v>
      </c>
      <c r="G8" s="79">
        <v>4</v>
      </c>
      <c r="H8" s="79">
        <v>5</v>
      </c>
      <c r="I8" s="79">
        <v>6</v>
      </c>
      <c r="J8" s="79">
        <v>7</v>
      </c>
      <c r="K8" s="79">
        <v>8</v>
      </c>
      <c r="L8" s="83" t="s">
        <v>35</v>
      </c>
      <c r="M8" s="83" t="s">
        <v>7</v>
      </c>
      <c r="N8" s="83" t="s">
        <v>4</v>
      </c>
      <c r="O8" s="87" t="s">
        <v>5</v>
      </c>
      <c r="P8" s="84" t="s">
        <v>10</v>
      </c>
      <c r="Q8" s="84" t="s">
        <v>11</v>
      </c>
      <c r="R8" s="84" t="s">
        <v>12</v>
      </c>
      <c r="S8" s="85" t="s">
        <v>13</v>
      </c>
      <c r="T8" s="86" t="s">
        <v>14</v>
      </c>
    </row>
    <row r="9" spans="1:21" x14ac:dyDescent="0.2">
      <c r="A9" s="97">
        <v>1</v>
      </c>
      <c r="B9" s="94">
        <v>1</v>
      </c>
      <c r="C9" s="80" t="str">
        <f>IF($B9=C$8,"*"," ")</f>
        <v xml:space="preserve"> </v>
      </c>
      <c r="D9" s="80" t="str">
        <f t="shared" ref="D9:K24" si="0">IF($B9=D$8,"*"," ")</f>
        <v>*</v>
      </c>
      <c r="E9" s="80" t="str">
        <f t="shared" si="0"/>
        <v xml:space="preserve"> </v>
      </c>
      <c r="F9" s="80" t="str">
        <f t="shared" si="0"/>
        <v xml:space="preserve"> </v>
      </c>
      <c r="G9" s="80" t="str">
        <f t="shared" si="0"/>
        <v xml:space="preserve"> </v>
      </c>
      <c r="H9" s="80" t="str">
        <f t="shared" si="0"/>
        <v xml:space="preserve"> </v>
      </c>
      <c r="I9" s="80" t="str">
        <f t="shared" si="0"/>
        <v xml:space="preserve"> </v>
      </c>
      <c r="J9" s="80" t="str">
        <f t="shared" si="0"/>
        <v xml:space="preserve"> </v>
      </c>
      <c r="K9" s="80" t="str">
        <f t="shared" si="0"/>
        <v xml:space="preserve"> </v>
      </c>
      <c r="L9" s="42" t="str">
        <f>$L$2&amp;" - "</f>
        <v xml:space="preserve">P001 - </v>
      </c>
      <c r="M9" s="62">
        <v>1</v>
      </c>
      <c r="N9" s="22" t="str">
        <f>IF(ISBLANK(A9),"",IFERROR((LOOKUP(M9,BOM!A:A,BOM!E:E))," "))</f>
        <v>0A(WIP)</v>
      </c>
      <c r="O9" s="21"/>
      <c r="P9" s="21">
        <v>1</v>
      </c>
      <c r="Q9" s="21" t="s">
        <v>0</v>
      </c>
      <c r="R9" s="21" t="s">
        <v>1</v>
      </c>
      <c r="S9" s="29"/>
      <c r="T9" s="31"/>
    </row>
    <row r="10" spans="1:21" x14ac:dyDescent="0.2">
      <c r="A10" s="97">
        <v>2</v>
      </c>
      <c r="B10" s="94">
        <v>2</v>
      </c>
      <c r="C10" s="80" t="str">
        <f t="shared" ref="C10:K41" si="1">IF($B10=C$8,"*"," ")</f>
        <v xml:space="preserve"> </v>
      </c>
      <c r="D10" s="80" t="str">
        <f t="shared" si="0"/>
        <v xml:space="preserve"> </v>
      </c>
      <c r="E10" s="80" t="str">
        <f t="shared" si="0"/>
        <v>*</v>
      </c>
      <c r="F10" s="80" t="str">
        <f t="shared" si="0"/>
        <v xml:space="preserve"> </v>
      </c>
      <c r="G10" s="80" t="str">
        <f t="shared" si="0"/>
        <v xml:space="preserve"> </v>
      </c>
      <c r="H10" s="80" t="str">
        <f t="shared" si="0"/>
        <v xml:space="preserve"> </v>
      </c>
      <c r="I10" s="80" t="str">
        <f t="shared" si="0"/>
        <v xml:space="preserve"> </v>
      </c>
      <c r="J10" s="80" t="str">
        <f t="shared" si="0"/>
        <v xml:space="preserve"> </v>
      </c>
      <c r="K10" s="80" t="str">
        <f t="shared" si="0"/>
        <v xml:space="preserve"> </v>
      </c>
      <c r="L10" s="42" t="str">
        <f t="shared" ref="L10:L68" si="2">$L$2&amp;" - "</f>
        <v xml:space="preserve">P001 - </v>
      </c>
      <c r="M10" s="62">
        <v>2</v>
      </c>
      <c r="N10" s="22">
        <f>IF(ISBLANK(A10),"",IFERROR((LOOKUP(M10,BOM!A:A,BOM!E:E))," "))</f>
        <v>0</v>
      </c>
      <c r="O10" s="21"/>
      <c r="P10" s="21">
        <v>1</v>
      </c>
      <c r="Q10" s="21" t="s">
        <v>0</v>
      </c>
      <c r="R10" s="21" t="s">
        <v>2</v>
      </c>
      <c r="S10" s="29"/>
      <c r="T10" s="31"/>
    </row>
    <row r="11" spans="1:21" x14ac:dyDescent="0.2">
      <c r="A11" s="97">
        <v>3</v>
      </c>
      <c r="B11" s="94"/>
      <c r="C11" s="80" t="str">
        <f t="shared" si="1"/>
        <v>*</v>
      </c>
      <c r="D11" s="80" t="str">
        <f t="shared" si="0"/>
        <v xml:space="preserve"> </v>
      </c>
      <c r="E11" s="80" t="str">
        <f t="shared" si="0"/>
        <v xml:space="preserve"> </v>
      </c>
      <c r="F11" s="80" t="str">
        <f t="shared" si="0"/>
        <v xml:space="preserve"> </v>
      </c>
      <c r="G11" s="80" t="str">
        <f t="shared" si="0"/>
        <v xml:space="preserve"> </v>
      </c>
      <c r="H11" s="80" t="str">
        <f t="shared" si="0"/>
        <v xml:space="preserve"> </v>
      </c>
      <c r="I11" s="80" t="str">
        <f t="shared" si="0"/>
        <v xml:space="preserve"> </v>
      </c>
      <c r="J11" s="80" t="str">
        <f t="shared" si="0"/>
        <v xml:space="preserve"> </v>
      </c>
      <c r="K11" s="80" t="str">
        <f t="shared" si="0"/>
        <v xml:space="preserve"> </v>
      </c>
      <c r="L11" s="42" t="str">
        <f t="shared" si="2"/>
        <v xml:space="preserve">P001 - </v>
      </c>
      <c r="M11" s="62">
        <v>3</v>
      </c>
      <c r="N11" s="22" t="str">
        <f>IF(ISBLANK(A11),"",IFERROR((LOOKUP(M11,BOM!A:A,BOM!E:E))," "))</f>
        <v>0A(WIP)</v>
      </c>
      <c r="O11" s="21"/>
      <c r="P11" s="21">
        <v>1</v>
      </c>
      <c r="Q11" s="21" t="s">
        <v>0</v>
      </c>
      <c r="R11" s="21" t="s">
        <v>2</v>
      </c>
      <c r="S11" s="29"/>
      <c r="T11" s="31"/>
    </row>
    <row r="12" spans="1:21" x14ac:dyDescent="0.2">
      <c r="A12" s="97">
        <v>4</v>
      </c>
      <c r="B12" s="94"/>
      <c r="C12" s="80" t="str">
        <f t="shared" si="1"/>
        <v>*</v>
      </c>
      <c r="D12" s="80" t="str">
        <f t="shared" si="0"/>
        <v xml:space="preserve"> </v>
      </c>
      <c r="E12" s="80" t="str">
        <f t="shared" si="0"/>
        <v xml:space="preserve"> </v>
      </c>
      <c r="F12" s="80" t="str">
        <f t="shared" si="0"/>
        <v xml:space="preserve"> </v>
      </c>
      <c r="G12" s="80" t="str">
        <f t="shared" si="0"/>
        <v xml:space="preserve"> </v>
      </c>
      <c r="H12" s="80" t="str">
        <f t="shared" si="0"/>
        <v xml:space="preserve"> </v>
      </c>
      <c r="I12" s="80" t="str">
        <f t="shared" si="0"/>
        <v xml:space="preserve"> </v>
      </c>
      <c r="J12" s="80" t="str">
        <f t="shared" si="0"/>
        <v xml:space="preserve"> </v>
      </c>
      <c r="K12" s="80" t="str">
        <f t="shared" si="0"/>
        <v xml:space="preserve"> </v>
      </c>
      <c r="L12" s="42" t="str">
        <f t="shared" si="2"/>
        <v xml:space="preserve">P001 - </v>
      </c>
      <c r="M12" s="62">
        <v>4</v>
      </c>
      <c r="N12" s="22" t="str">
        <f>IF(ISBLANK(A12),"",IFERROR((LOOKUP(M12,BOM!A:A,BOM!E:E))," "))</f>
        <v>0AWIP)</v>
      </c>
      <c r="O12" s="21"/>
      <c r="P12" s="21">
        <v>1</v>
      </c>
      <c r="Q12" s="21" t="s">
        <v>0</v>
      </c>
      <c r="R12" s="21" t="s">
        <v>1</v>
      </c>
      <c r="S12" s="29"/>
      <c r="T12" s="31"/>
    </row>
    <row r="13" spans="1:21" x14ac:dyDescent="0.2">
      <c r="A13" s="97">
        <v>5</v>
      </c>
      <c r="B13" s="94"/>
      <c r="C13" s="80" t="str">
        <f t="shared" si="1"/>
        <v>*</v>
      </c>
      <c r="D13" s="80" t="str">
        <f t="shared" si="0"/>
        <v xml:space="preserve"> </v>
      </c>
      <c r="E13" s="80" t="str">
        <f t="shared" si="0"/>
        <v xml:space="preserve"> </v>
      </c>
      <c r="F13" s="80" t="str">
        <f t="shared" si="0"/>
        <v xml:space="preserve"> </v>
      </c>
      <c r="G13" s="80" t="str">
        <f t="shared" si="0"/>
        <v xml:space="preserve"> </v>
      </c>
      <c r="H13" s="80" t="str">
        <f t="shared" si="0"/>
        <v xml:space="preserve"> </v>
      </c>
      <c r="I13" s="80" t="str">
        <f t="shared" si="0"/>
        <v xml:space="preserve"> </v>
      </c>
      <c r="J13" s="80" t="str">
        <f t="shared" si="0"/>
        <v xml:space="preserve"> </v>
      </c>
      <c r="K13" s="80" t="str">
        <f t="shared" si="0"/>
        <v xml:space="preserve"> </v>
      </c>
      <c r="L13" s="42" t="str">
        <f t="shared" si="2"/>
        <v xml:space="preserve">P001 - </v>
      </c>
      <c r="M13" s="62">
        <v>5</v>
      </c>
      <c r="N13" s="22" t="str">
        <f>IF(ISBLANK(A13),"",IFERROR((LOOKUP(M13,BOM!A:A,BOM!E:E))," "))</f>
        <v>0A(WIP)</v>
      </c>
      <c r="O13" s="21"/>
      <c r="P13" s="21">
        <v>1</v>
      </c>
      <c r="Q13" s="21" t="s">
        <v>0</v>
      </c>
      <c r="R13" s="21" t="s">
        <v>1</v>
      </c>
      <c r="S13" s="29"/>
      <c r="T13" s="31"/>
    </row>
    <row r="14" spans="1:21" x14ac:dyDescent="0.2">
      <c r="A14" s="97">
        <v>6</v>
      </c>
      <c r="B14" s="94"/>
      <c r="C14" s="80" t="str">
        <f t="shared" si="1"/>
        <v>*</v>
      </c>
      <c r="D14" s="80" t="str">
        <f t="shared" si="0"/>
        <v xml:space="preserve"> </v>
      </c>
      <c r="E14" s="80" t="str">
        <f t="shared" si="0"/>
        <v xml:space="preserve"> </v>
      </c>
      <c r="F14" s="80" t="str">
        <f t="shared" si="0"/>
        <v xml:space="preserve"> </v>
      </c>
      <c r="G14" s="80" t="str">
        <f t="shared" si="0"/>
        <v xml:space="preserve"> </v>
      </c>
      <c r="H14" s="80" t="str">
        <f t="shared" si="0"/>
        <v xml:space="preserve"> </v>
      </c>
      <c r="I14" s="80" t="str">
        <f t="shared" si="0"/>
        <v xml:space="preserve"> </v>
      </c>
      <c r="J14" s="80" t="str">
        <f t="shared" si="0"/>
        <v xml:space="preserve"> </v>
      </c>
      <c r="K14" s="80" t="str">
        <f t="shared" si="0"/>
        <v xml:space="preserve"> </v>
      </c>
      <c r="L14" s="42" t="str">
        <f t="shared" si="2"/>
        <v xml:space="preserve">P001 - </v>
      </c>
      <c r="M14" s="62"/>
      <c r="N14" s="22" t="str">
        <f>IF(ISBLANK(A14),"",IFERROR((LOOKUP(M14,BOM!A:A,BOM!E:E))," "))</f>
        <v xml:space="preserve"> </v>
      </c>
      <c r="O14" s="21"/>
      <c r="P14" s="21"/>
      <c r="Q14" s="21" t="s">
        <v>0</v>
      </c>
      <c r="R14" s="21" t="s">
        <v>1</v>
      </c>
      <c r="S14" s="29"/>
      <c r="T14" s="31"/>
    </row>
    <row r="15" spans="1:21" x14ac:dyDescent="0.2">
      <c r="A15" s="97">
        <v>7</v>
      </c>
      <c r="B15" s="94"/>
      <c r="C15" s="80" t="str">
        <f t="shared" si="1"/>
        <v>*</v>
      </c>
      <c r="D15" s="80" t="str">
        <f t="shared" si="0"/>
        <v xml:space="preserve"> </v>
      </c>
      <c r="E15" s="80" t="str">
        <f t="shared" si="0"/>
        <v xml:space="preserve"> </v>
      </c>
      <c r="F15" s="80" t="str">
        <f t="shared" si="0"/>
        <v xml:space="preserve"> </v>
      </c>
      <c r="G15" s="80" t="str">
        <f t="shared" si="0"/>
        <v xml:space="preserve"> </v>
      </c>
      <c r="H15" s="80" t="str">
        <f t="shared" si="0"/>
        <v xml:space="preserve"> </v>
      </c>
      <c r="I15" s="80" t="str">
        <f t="shared" si="0"/>
        <v xml:space="preserve"> </v>
      </c>
      <c r="J15" s="80" t="str">
        <f t="shared" si="0"/>
        <v xml:space="preserve"> </v>
      </c>
      <c r="K15" s="80" t="str">
        <f t="shared" si="0"/>
        <v xml:space="preserve"> </v>
      </c>
      <c r="L15" s="42" t="str">
        <f t="shared" si="2"/>
        <v xml:space="preserve">P001 - </v>
      </c>
      <c r="M15" s="62"/>
      <c r="N15" s="22" t="str">
        <f>IF(ISBLANK(A15),"",IFERROR((LOOKUP(M15,BOM!A:A,BOM!E:E))," "))</f>
        <v xml:space="preserve"> </v>
      </c>
      <c r="O15" s="21"/>
      <c r="P15" s="21"/>
      <c r="Q15" s="21" t="s">
        <v>0</v>
      </c>
      <c r="R15" s="21" t="s">
        <v>1</v>
      </c>
      <c r="S15" s="29"/>
      <c r="T15" s="31"/>
    </row>
    <row r="16" spans="1:21" x14ac:dyDescent="0.2">
      <c r="A16" s="97">
        <v>8</v>
      </c>
      <c r="B16" s="94"/>
      <c r="C16" s="80" t="str">
        <f t="shared" si="1"/>
        <v>*</v>
      </c>
      <c r="D16" s="80" t="str">
        <f t="shared" si="0"/>
        <v xml:space="preserve"> </v>
      </c>
      <c r="E16" s="80" t="str">
        <f t="shared" si="0"/>
        <v xml:space="preserve"> </v>
      </c>
      <c r="F16" s="80" t="str">
        <f t="shared" si="0"/>
        <v xml:space="preserve"> </v>
      </c>
      <c r="G16" s="80" t="str">
        <f t="shared" si="0"/>
        <v xml:space="preserve"> </v>
      </c>
      <c r="H16" s="80" t="str">
        <f t="shared" si="0"/>
        <v xml:space="preserve"> </v>
      </c>
      <c r="I16" s="80" t="str">
        <f t="shared" si="0"/>
        <v xml:space="preserve"> </v>
      </c>
      <c r="J16" s="80" t="str">
        <f t="shared" si="0"/>
        <v xml:space="preserve"> </v>
      </c>
      <c r="K16" s="80" t="str">
        <f t="shared" si="0"/>
        <v xml:space="preserve"> </v>
      </c>
      <c r="L16" s="42" t="str">
        <f t="shared" si="2"/>
        <v xml:space="preserve">P001 - </v>
      </c>
      <c r="M16" s="62"/>
      <c r="N16" s="22" t="str">
        <f>IF(ISBLANK(A16),"",IFERROR((LOOKUP(M16,BOM!A:A,BOM!E:E))," "))</f>
        <v xml:space="preserve"> </v>
      </c>
      <c r="O16" s="21"/>
      <c r="P16" s="21"/>
      <c r="Q16" s="21" t="s">
        <v>0</v>
      </c>
      <c r="R16" s="21" t="s">
        <v>1</v>
      </c>
      <c r="S16" s="29"/>
      <c r="T16" s="31"/>
    </row>
    <row r="17" spans="1:20" x14ac:dyDescent="0.2">
      <c r="A17" s="97">
        <v>9</v>
      </c>
      <c r="B17" s="94"/>
      <c r="C17" s="80" t="str">
        <f t="shared" si="1"/>
        <v>*</v>
      </c>
      <c r="D17" s="80" t="str">
        <f t="shared" si="0"/>
        <v xml:space="preserve"> </v>
      </c>
      <c r="E17" s="80" t="str">
        <f t="shared" si="0"/>
        <v xml:space="preserve"> </v>
      </c>
      <c r="F17" s="80" t="str">
        <f t="shared" si="0"/>
        <v xml:space="preserve"> </v>
      </c>
      <c r="G17" s="80" t="str">
        <f t="shared" si="0"/>
        <v xml:space="preserve"> </v>
      </c>
      <c r="H17" s="80" t="str">
        <f t="shared" si="0"/>
        <v xml:space="preserve"> </v>
      </c>
      <c r="I17" s="80" t="str">
        <f t="shared" si="0"/>
        <v xml:space="preserve"> </v>
      </c>
      <c r="J17" s="80" t="str">
        <f t="shared" si="0"/>
        <v xml:space="preserve"> </v>
      </c>
      <c r="K17" s="80" t="str">
        <f t="shared" si="0"/>
        <v xml:space="preserve"> </v>
      </c>
      <c r="L17" s="42" t="str">
        <f t="shared" si="2"/>
        <v xml:space="preserve">P001 - </v>
      </c>
      <c r="M17" s="62"/>
      <c r="N17" s="22" t="str">
        <f>IF(ISBLANK(A17),"",IFERROR((LOOKUP(M17,BOM!A:A,BOM!E:E))," "))</f>
        <v xml:space="preserve"> </v>
      </c>
      <c r="O17" s="21"/>
      <c r="P17" s="21"/>
      <c r="Q17" s="21" t="s">
        <v>0</v>
      </c>
      <c r="R17" s="21" t="s">
        <v>2</v>
      </c>
      <c r="S17" s="29"/>
      <c r="T17" s="31"/>
    </row>
    <row r="18" spans="1:20" x14ac:dyDescent="0.2">
      <c r="A18" s="97">
        <v>10</v>
      </c>
      <c r="B18" s="94"/>
      <c r="C18" s="80" t="str">
        <f t="shared" si="1"/>
        <v>*</v>
      </c>
      <c r="D18" s="80" t="str">
        <f t="shared" si="0"/>
        <v xml:space="preserve"> </v>
      </c>
      <c r="E18" s="80" t="str">
        <f t="shared" si="0"/>
        <v xml:space="preserve"> </v>
      </c>
      <c r="F18" s="80" t="str">
        <f t="shared" si="0"/>
        <v xml:space="preserve"> </v>
      </c>
      <c r="G18" s="80" t="str">
        <f t="shared" si="0"/>
        <v xml:space="preserve"> </v>
      </c>
      <c r="H18" s="80" t="str">
        <f t="shared" si="0"/>
        <v xml:space="preserve"> </v>
      </c>
      <c r="I18" s="80" t="str">
        <f t="shared" si="0"/>
        <v xml:space="preserve"> </v>
      </c>
      <c r="J18" s="80" t="str">
        <f t="shared" si="0"/>
        <v xml:space="preserve"> </v>
      </c>
      <c r="K18" s="80" t="str">
        <f t="shared" si="0"/>
        <v xml:space="preserve"> </v>
      </c>
      <c r="L18" s="42" t="str">
        <f t="shared" si="2"/>
        <v xml:space="preserve">P001 - </v>
      </c>
      <c r="M18" s="62"/>
      <c r="N18" s="22" t="str">
        <f>IF(ISBLANK(A18),"",IFERROR((LOOKUP(M18,BOM!A:A,BOM!E:E))," "))</f>
        <v xml:space="preserve"> </v>
      </c>
      <c r="O18" s="21"/>
      <c r="P18" s="21"/>
      <c r="Q18" s="21" t="s">
        <v>0</v>
      </c>
      <c r="R18" s="21" t="s">
        <v>2</v>
      </c>
      <c r="S18" s="29"/>
      <c r="T18" s="31"/>
    </row>
    <row r="19" spans="1:20" x14ac:dyDescent="0.2">
      <c r="A19" s="97">
        <v>11</v>
      </c>
      <c r="B19" s="94"/>
      <c r="C19" s="80" t="str">
        <f t="shared" si="1"/>
        <v>*</v>
      </c>
      <c r="D19" s="80" t="str">
        <f t="shared" si="0"/>
        <v xml:space="preserve"> </v>
      </c>
      <c r="E19" s="80" t="str">
        <f t="shared" si="0"/>
        <v xml:space="preserve"> </v>
      </c>
      <c r="F19" s="80" t="str">
        <f t="shared" si="0"/>
        <v xml:space="preserve"> </v>
      </c>
      <c r="G19" s="80" t="str">
        <f t="shared" si="0"/>
        <v xml:space="preserve"> </v>
      </c>
      <c r="H19" s="80" t="str">
        <f t="shared" si="0"/>
        <v xml:space="preserve"> </v>
      </c>
      <c r="I19" s="80" t="str">
        <f t="shared" si="0"/>
        <v xml:space="preserve"> </v>
      </c>
      <c r="J19" s="80" t="str">
        <f t="shared" si="0"/>
        <v xml:space="preserve"> </v>
      </c>
      <c r="K19" s="80" t="str">
        <f t="shared" si="0"/>
        <v xml:space="preserve"> </v>
      </c>
      <c r="L19" s="42" t="str">
        <f t="shared" si="2"/>
        <v xml:space="preserve">P001 - </v>
      </c>
      <c r="M19" s="62"/>
      <c r="N19" s="22" t="str">
        <f>IF(ISBLANK(A19),"",IFERROR((LOOKUP(M19,BOM!A:A,BOM!E:E))," "))</f>
        <v xml:space="preserve"> </v>
      </c>
      <c r="O19" s="21"/>
      <c r="P19" s="21"/>
      <c r="Q19" s="21" t="s">
        <v>0</v>
      </c>
      <c r="R19" s="21" t="s">
        <v>2</v>
      </c>
      <c r="S19" s="29"/>
      <c r="T19" s="31"/>
    </row>
    <row r="20" spans="1:20" x14ac:dyDescent="0.2">
      <c r="A20" s="97">
        <v>12</v>
      </c>
      <c r="B20" s="94"/>
      <c r="C20" s="80" t="str">
        <f t="shared" si="1"/>
        <v>*</v>
      </c>
      <c r="D20" s="80" t="str">
        <f t="shared" si="0"/>
        <v xml:space="preserve"> </v>
      </c>
      <c r="E20" s="80" t="str">
        <f t="shared" si="0"/>
        <v xml:space="preserve"> </v>
      </c>
      <c r="F20" s="80" t="str">
        <f t="shared" si="0"/>
        <v xml:space="preserve"> </v>
      </c>
      <c r="G20" s="80" t="str">
        <f t="shared" si="0"/>
        <v xml:space="preserve"> </v>
      </c>
      <c r="H20" s="80" t="str">
        <f t="shared" si="0"/>
        <v xml:space="preserve"> </v>
      </c>
      <c r="I20" s="80" t="str">
        <f t="shared" si="0"/>
        <v xml:space="preserve"> </v>
      </c>
      <c r="J20" s="80" t="str">
        <f t="shared" si="0"/>
        <v xml:space="preserve"> </v>
      </c>
      <c r="K20" s="80" t="str">
        <f t="shared" si="0"/>
        <v xml:space="preserve"> </v>
      </c>
      <c r="L20" s="42" t="str">
        <f t="shared" si="2"/>
        <v xml:space="preserve">P001 - </v>
      </c>
      <c r="M20" s="62"/>
      <c r="N20" s="22" t="str">
        <f>IF(ISBLANK(A20),"",IFERROR((LOOKUP(M20,BOM!A:A,BOM!E:E))," "))</f>
        <v xml:space="preserve"> </v>
      </c>
      <c r="O20" s="21"/>
      <c r="P20" s="21"/>
      <c r="Q20" s="21" t="s">
        <v>0</v>
      </c>
      <c r="R20" s="21" t="s">
        <v>2</v>
      </c>
      <c r="S20" s="29"/>
      <c r="T20" s="31"/>
    </row>
    <row r="21" spans="1:20" x14ac:dyDescent="0.2">
      <c r="A21" s="97">
        <v>13</v>
      </c>
      <c r="B21" s="94"/>
      <c r="C21" s="80" t="str">
        <f t="shared" si="1"/>
        <v>*</v>
      </c>
      <c r="D21" s="80" t="str">
        <f t="shared" si="0"/>
        <v xml:space="preserve"> </v>
      </c>
      <c r="E21" s="80" t="str">
        <f t="shared" si="0"/>
        <v xml:space="preserve"> </v>
      </c>
      <c r="F21" s="80" t="str">
        <f t="shared" si="0"/>
        <v xml:space="preserve"> </v>
      </c>
      <c r="G21" s="80" t="str">
        <f t="shared" si="0"/>
        <v xml:space="preserve"> </v>
      </c>
      <c r="H21" s="80" t="str">
        <f t="shared" si="0"/>
        <v xml:space="preserve"> </v>
      </c>
      <c r="I21" s="80" t="str">
        <f t="shared" si="0"/>
        <v xml:space="preserve"> </v>
      </c>
      <c r="J21" s="80" t="str">
        <f t="shared" si="0"/>
        <v xml:space="preserve"> </v>
      </c>
      <c r="K21" s="80" t="str">
        <f t="shared" si="0"/>
        <v xml:space="preserve"> </v>
      </c>
      <c r="L21" s="42" t="str">
        <f t="shared" si="2"/>
        <v xml:space="preserve">P001 - </v>
      </c>
      <c r="M21" s="62"/>
      <c r="N21" s="22" t="str">
        <f>IF(ISBLANK(A21),"",IFERROR((LOOKUP(M21,BOM!A:A,BOM!E:E))," "))</f>
        <v xml:space="preserve"> </v>
      </c>
      <c r="O21" s="21"/>
      <c r="P21" s="21"/>
      <c r="Q21" s="21" t="s">
        <v>0</v>
      </c>
      <c r="R21" s="21" t="s">
        <v>2</v>
      </c>
      <c r="S21" s="29"/>
      <c r="T21" s="31"/>
    </row>
    <row r="22" spans="1:20" x14ac:dyDescent="0.2">
      <c r="A22" s="97">
        <v>14</v>
      </c>
      <c r="B22" s="94"/>
      <c r="C22" s="80" t="str">
        <f t="shared" si="1"/>
        <v>*</v>
      </c>
      <c r="D22" s="80" t="str">
        <f t="shared" si="0"/>
        <v xml:space="preserve"> </v>
      </c>
      <c r="E22" s="80" t="str">
        <f t="shared" si="0"/>
        <v xml:space="preserve"> </v>
      </c>
      <c r="F22" s="80" t="str">
        <f t="shared" si="0"/>
        <v xml:space="preserve"> </v>
      </c>
      <c r="G22" s="80" t="str">
        <f t="shared" si="0"/>
        <v xml:space="preserve"> </v>
      </c>
      <c r="H22" s="80" t="str">
        <f t="shared" si="0"/>
        <v xml:space="preserve"> </v>
      </c>
      <c r="I22" s="80" t="str">
        <f t="shared" si="0"/>
        <v xml:space="preserve"> </v>
      </c>
      <c r="J22" s="80" t="str">
        <f t="shared" si="0"/>
        <v xml:space="preserve"> </v>
      </c>
      <c r="K22" s="80" t="str">
        <f t="shared" si="0"/>
        <v xml:space="preserve"> </v>
      </c>
      <c r="L22" s="42" t="str">
        <f t="shared" si="2"/>
        <v xml:space="preserve">P001 - </v>
      </c>
      <c r="M22" s="62"/>
      <c r="N22" s="22" t="str">
        <f>IF(ISBLANK(A22),"",IFERROR((LOOKUP(M22,BOM!A:A,BOM!E:E))," "))</f>
        <v xml:space="preserve"> </v>
      </c>
      <c r="O22" s="21"/>
      <c r="P22" s="21"/>
      <c r="Q22" s="21" t="s">
        <v>0</v>
      </c>
      <c r="R22" s="21" t="s">
        <v>2</v>
      </c>
      <c r="S22" s="29"/>
      <c r="T22" s="31"/>
    </row>
    <row r="23" spans="1:20" x14ac:dyDescent="0.2">
      <c r="A23" s="97">
        <v>15</v>
      </c>
      <c r="B23" s="94"/>
      <c r="C23" s="80" t="str">
        <f t="shared" si="1"/>
        <v>*</v>
      </c>
      <c r="D23" s="80" t="str">
        <f t="shared" si="0"/>
        <v xml:space="preserve"> </v>
      </c>
      <c r="E23" s="80" t="str">
        <f t="shared" si="0"/>
        <v xml:space="preserve"> </v>
      </c>
      <c r="F23" s="80" t="str">
        <f t="shared" si="0"/>
        <v xml:space="preserve"> </v>
      </c>
      <c r="G23" s="80" t="str">
        <f t="shared" si="0"/>
        <v xml:space="preserve"> </v>
      </c>
      <c r="H23" s="80" t="str">
        <f t="shared" si="0"/>
        <v xml:space="preserve"> </v>
      </c>
      <c r="I23" s="80" t="str">
        <f t="shared" si="0"/>
        <v xml:space="preserve"> </v>
      </c>
      <c r="J23" s="80" t="str">
        <f t="shared" si="0"/>
        <v xml:space="preserve"> </v>
      </c>
      <c r="K23" s="80" t="str">
        <f t="shared" si="0"/>
        <v xml:space="preserve"> </v>
      </c>
      <c r="L23" s="42" t="str">
        <f t="shared" si="2"/>
        <v xml:space="preserve">P001 - </v>
      </c>
      <c r="M23" s="62"/>
      <c r="N23" s="22" t="str">
        <f>IF(ISBLANK(A23),"",IFERROR((LOOKUP(M23,BOM!A:A,BOM!E:E))," "))</f>
        <v xml:space="preserve"> </v>
      </c>
      <c r="O23" s="21"/>
      <c r="P23" s="21"/>
      <c r="Q23" s="21" t="s">
        <v>0</v>
      </c>
      <c r="R23" s="21" t="s">
        <v>2</v>
      </c>
      <c r="S23" s="29"/>
      <c r="T23" s="31"/>
    </row>
    <row r="24" spans="1:20" x14ac:dyDescent="0.2">
      <c r="A24" s="97">
        <v>16</v>
      </c>
      <c r="B24" s="94"/>
      <c r="C24" s="80" t="str">
        <f t="shared" si="1"/>
        <v>*</v>
      </c>
      <c r="D24" s="80" t="str">
        <f t="shared" si="0"/>
        <v xml:space="preserve"> </v>
      </c>
      <c r="E24" s="80" t="str">
        <f t="shared" si="0"/>
        <v xml:space="preserve"> </v>
      </c>
      <c r="F24" s="80" t="str">
        <f t="shared" si="0"/>
        <v xml:space="preserve"> </v>
      </c>
      <c r="G24" s="80" t="str">
        <f t="shared" si="0"/>
        <v xml:space="preserve"> </v>
      </c>
      <c r="H24" s="80" t="str">
        <f t="shared" si="0"/>
        <v xml:space="preserve"> </v>
      </c>
      <c r="I24" s="80" t="str">
        <f t="shared" si="0"/>
        <v xml:space="preserve"> </v>
      </c>
      <c r="J24" s="80" t="str">
        <f t="shared" si="0"/>
        <v xml:space="preserve"> </v>
      </c>
      <c r="K24" s="80" t="str">
        <f t="shared" si="0"/>
        <v xml:space="preserve"> </v>
      </c>
      <c r="L24" s="42" t="str">
        <f t="shared" si="2"/>
        <v xml:space="preserve">P001 - </v>
      </c>
      <c r="M24" s="62"/>
      <c r="N24" s="22" t="str">
        <f>IF(ISBLANK(A24),"",IFERROR((LOOKUP(M24,BOM!A:A,BOM!E:E))," "))</f>
        <v xml:space="preserve"> </v>
      </c>
      <c r="O24" s="21"/>
      <c r="P24" s="21"/>
      <c r="Q24" s="21" t="s">
        <v>0</v>
      </c>
      <c r="R24" s="21" t="s">
        <v>2</v>
      </c>
      <c r="S24" s="29"/>
      <c r="T24" s="31"/>
    </row>
    <row r="25" spans="1:20" x14ac:dyDescent="0.2">
      <c r="A25" s="97">
        <v>17</v>
      </c>
      <c r="B25" s="94"/>
      <c r="C25" s="80" t="str">
        <f t="shared" si="1"/>
        <v>*</v>
      </c>
      <c r="D25" s="80" t="str">
        <f t="shared" si="1"/>
        <v xml:space="preserve"> </v>
      </c>
      <c r="E25" s="80" t="str">
        <f t="shared" si="1"/>
        <v xml:space="preserve"> </v>
      </c>
      <c r="F25" s="80" t="str">
        <f t="shared" si="1"/>
        <v xml:space="preserve"> </v>
      </c>
      <c r="G25" s="80" t="str">
        <f t="shared" si="1"/>
        <v xml:space="preserve"> </v>
      </c>
      <c r="H25" s="80" t="str">
        <f t="shared" si="1"/>
        <v xml:space="preserve"> </v>
      </c>
      <c r="I25" s="80" t="str">
        <f t="shared" si="1"/>
        <v xml:space="preserve"> </v>
      </c>
      <c r="J25" s="80" t="str">
        <f t="shared" si="1"/>
        <v xml:space="preserve"> </v>
      </c>
      <c r="K25" s="80" t="str">
        <f t="shared" si="1"/>
        <v xml:space="preserve"> </v>
      </c>
      <c r="L25" s="42" t="str">
        <f t="shared" si="2"/>
        <v xml:space="preserve">P001 - </v>
      </c>
      <c r="M25" s="62"/>
      <c r="N25" s="22" t="str">
        <f>IF(ISBLANK(A25),"",IFERROR((LOOKUP(M25,BOM!A:A,BOM!E:E))," "))</f>
        <v xml:space="preserve"> </v>
      </c>
      <c r="O25" s="21"/>
      <c r="P25" s="21"/>
      <c r="Q25" s="21" t="s">
        <v>0</v>
      </c>
      <c r="R25" s="21" t="s">
        <v>2</v>
      </c>
      <c r="S25" s="29"/>
      <c r="T25" s="31"/>
    </row>
    <row r="26" spans="1:20" x14ac:dyDescent="0.2">
      <c r="A26" s="97">
        <v>18</v>
      </c>
      <c r="B26" s="94"/>
      <c r="C26" s="80" t="str">
        <f t="shared" si="1"/>
        <v>*</v>
      </c>
      <c r="D26" s="80" t="str">
        <f t="shared" si="1"/>
        <v xml:space="preserve"> </v>
      </c>
      <c r="E26" s="80" t="str">
        <f t="shared" si="1"/>
        <v xml:space="preserve"> </v>
      </c>
      <c r="F26" s="80" t="str">
        <f t="shared" si="1"/>
        <v xml:space="preserve"> </v>
      </c>
      <c r="G26" s="80" t="str">
        <f t="shared" si="1"/>
        <v xml:space="preserve"> </v>
      </c>
      <c r="H26" s="80" t="str">
        <f t="shared" si="1"/>
        <v xml:space="preserve"> </v>
      </c>
      <c r="I26" s="80" t="str">
        <f t="shared" si="1"/>
        <v xml:space="preserve"> </v>
      </c>
      <c r="J26" s="80" t="str">
        <f t="shared" si="1"/>
        <v xml:space="preserve"> </v>
      </c>
      <c r="K26" s="80" t="str">
        <f t="shared" si="1"/>
        <v xml:space="preserve"> </v>
      </c>
      <c r="L26" s="42" t="str">
        <f t="shared" si="2"/>
        <v xml:space="preserve">P001 - </v>
      </c>
      <c r="M26" s="62"/>
      <c r="N26" s="22" t="str">
        <f>IF(ISBLANK(A26),"",IFERROR((LOOKUP(M26,BOM!A:A,BOM!E:E))," "))</f>
        <v xml:space="preserve"> </v>
      </c>
      <c r="O26" s="21"/>
      <c r="P26" s="21"/>
      <c r="Q26" s="21" t="s">
        <v>0</v>
      </c>
      <c r="R26" s="21" t="s">
        <v>2</v>
      </c>
      <c r="S26" s="29"/>
      <c r="T26" s="31"/>
    </row>
    <row r="27" spans="1:20" x14ac:dyDescent="0.2">
      <c r="A27" s="97">
        <v>19</v>
      </c>
      <c r="B27" s="94"/>
      <c r="C27" s="80" t="str">
        <f t="shared" si="1"/>
        <v>*</v>
      </c>
      <c r="D27" s="80" t="str">
        <f t="shared" si="1"/>
        <v xml:space="preserve"> </v>
      </c>
      <c r="E27" s="80" t="str">
        <f t="shared" si="1"/>
        <v xml:space="preserve"> </v>
      </c>
      <c r="F27" s="80" t="str">
        <f t="shared" si="1"/>
        <v xml:space="preserve"> </v>
      </c>
      <c r="G27" s="80" t="str">
        <f t="shared" si="1"/>
        <v xml:space="preserve"> </v>
      </c>
      <c r="H27" s="80" t="str">
        <f t="shared" si="1"/>
        <v xml:space="preserve"> </v>
      </c>
      <c r="I27" s="80" t="str">
        <f t="shared" si="1"/>
        <v xml:space="preserve"> </v>
      </c>
      <c r="J27" s="80" t="str">
        <f t="shared" si="1"/>
        <v xml:space="preserve"> </v>
      </c>
      <c r="K27" s="80" t="str">
        <f t="shared" si="1"/>
        <v xml:space="preserve"> </v>
      </c>
      <c r="L27" s="42" t="str">
        <f t="shared" si="2"/>
        <v xml:space="preserve">P001 - </v>
      </c>
      <c r="M27" s="62"/>
      <c r="N27" s="22" t="str">
        <f>IF(ISBLANK(A27),"",IFERROR((LOOKUP(M27,BOM!A:A,BOM!E:E))," "))</f>
        <v xml:space="preserve"> </v>
      </c>
      <c r="O27" s="21"/>
      <c r="P27" s="21"/>
      <c r="Q27" s="21" t="s">
        <v>0</v>
      </c>
      <c r="R27" s="21" t="s">
        <v>2</v>
      </c>
      <c r="S27" s="29"/>
      <c r="T27" s="31"/>
    </row>
    <row r="28" spans="1:20" x14ac:dyDescent="0.2">
      <c r="A28" s="97">
        <v>20</v>
      </c>
      <c r="B28" s="94"/>
      <c r="C28" s="80" t="str">
        <f t="shared" si="1"/>
        <v>*</v>
      </c>
      <c r="D28" s="80" t="str">
        <f t="shared" si="1"/>
        <v xml:space="preserve"> </v>
      </c>
      <c r="E28" s="80" t="str">
        <f t="shared" si="1"/>
        <v xml:space="preserve"> </v>
      </c>
      <c r="F28" s="80" t="str">
        <f t="shared" si="1"/>
        <v xml:space="preserve"> </v>
      </c>
      <c r="G28" s="80" t="str">
        <f t="shared" si="1"/>
        <v xml:space="preserve"> </v>
      </c>
      <c r="H28" s="80" t="str">
        <f t="shared" si="1"/>
        <v xml:space="preserve"> </v>
      </c>
      <c r="I28" s="80" t="str">
        <f t="shared" si="1"/>
        <v xml:space="preserve"> </v>
      </c>
      <c r="J28" s="80" t="str">
        <f t="shared" si="1"/>
        <v xml:space="preserve"> </v>
      </c>
      <c r="K28" s="80" t="str">
        <f t="shared" si="1"/>
        <v xml:space="preserve"> </v>
      </c>
      <c r="L28" s="42" t="str">
        <f t="shared" si="2"/>
        <v xml:space="preserve">P001 - </v>
      </c>
      <c r="M28" s="62"/>
      <c r="N28" s="22" t="str">
        <f>IF(ISBLANK(A28),"",IFERROR((LOOKUP(M28,BOM!A:A,BOM!E:E))," "))</f>
        <v xml:space="preserve"> </v>
      </c>
      <c r="O28" s="21"/>
      <c r="P28" s="21"/>
      <c r="Q28" s="21" t="s">
        <v>0</v>
      </c>
      <c r="R28" s="21" t="s">
        <v>2</v>
      </c>
      <c r="S28" s="29"/>
      <c r="T28" s="31"/>
    </row>
    <row r="29" spans="1:20" x14ac:dyDescent="0.2">
      <c r="A29" s="97">
        <v>21</v>
      </c>
      <c r="B29" s="94"/>
      <c r="C29" s="80" t="str">
        <f t="shared" si="1"/>
        <v>*</v>
      </c>
      <c r="D29" s="80" t="str">
        <f t="shared" si="1"/>
        <v xml:space="preserve"> </v>
      </c>
      <c r="E29" s="80" t="str">
        <f t="shared" si="1"/>
        <v xml:space="preserve"> </v>
      </c>
      <c r="F29" s="80" t="str">
        <f t="shared" si="1"/>
        <v xml:space="preserve"> </v>
      </c>
      <c r="G29" s="80" t="str">
        <f t="shared" si="1"/>
        <v xml:space="preserve"> </v>
      </c>
      <c r="H29" s="80" t="str">
        <f t="shared" si="1"/>
        <v xml:space="preserve"> </v>
      </c>
      <c r="I29" s="80" t="str">
        <f t="shared" si="1"/>
        <v xml:space="preserve"> </v>
      </c>
      <c r="J29" s="80" t="str">
        <f t="shared" si="1"/>
        <v xml:space="preserve"> </v>
      </c>
      <c r="K29" s="80" t="str">
        <f t="shared" si="1"/>
        <v xml:space="preserve"> </v>
      </c>
      <c r="L29" s="42" t="str">
        <f t="shared" si="2"/>
        <v xml:space="preserve">P001 - </v>
      </c>
      <c r="M29" s="62"/>
      <c r="N29" s="22" t="str">
        <f>IF(ISBLANK(A29),"",IFERROR((LOOKUP(M29,BOM!A:A,BOM!E:E))," "))</f>
        <v xml:space="preserve"> </v>
      </c>
      <c r="O29" s="21"/>
      <c r="P29" s="21"/>
      <c r="Q29" s="21" t="s">
        <v>0</v>
      </c>
      <c r="R29" s="21" t="s">
        <v>2</v>
      </c>
      <c r="S29" s="29"/>
      <c r="T29" s="31"/>
    </row>
    <row r="30" spans="1:20" x14ac:dyDescent="0.2">
      <c r="A30" s="97">
        <v>22</v>
      </c>
      <c r="B30" s="94"/>
      <c r="C30" s="80" t="str">
        <f t="shared" si="1"/>
        <v>*</v>
      </c>
      <c r="D30" s="80" t="str">
        <f t="shared" si="1"/>
        <v xml:space="preserve"> </v>
      </c>
      <c r="E30" s="80" t="str">
        <f t="shared" si="1"/>
        <v xml:space="preserve"> </v>
      </c>
      <c r="F30" s="80" t="str">
        <f t="shared" si="1"/>
        <v xml:space="preserve"> </v>
      </c>
      <c r="G30" s="80" t="str">
        <f t="shared" si="1"/>
        <v xml:space="preserve"> </v>
      </c>
      <c r="H30" s="80" t="str">
        <f t="shared" si="1"/>
        <v xml:space="preserve"> </v>
      </c>
      <c r="I30" s="80" t="str">
        <f t="shared" si="1"/>
        <v xml:space="preserve"> </v>
      </c>
      <c r="J30" s="80" t="str">
        <f t="shared" si="1"/>
        <v xml:space="preserve"> </v>
      </c>
      <c r="K30" s="80" t="str">
        <f t="shared" si="1"/>
        <v xml:space="preserve"> </v>
      </c>
      <c r="L30" s="42" t="str">
        <f t="shared" si="2"/>
        <v xml:space="preserve">P001 - </v>
      </c>
      <c r="M30" s="62"/>
      <c r="N30" s="22" t="str">
        <f>IF(ISBLANK(A30),"",IFERROR((LOOKUP(M30,BOM!A:A,BOM!E:E))," "))</f>
        <v xml:space="preserve"> </v>
      </c>
      <c r="O30" s="21"/>
      <c r="P30" s="21"/>
      <c r="Q30" s="21" t="s">
        <v>0</v>
      </c>
      <c r="R30" s="21" t="s">
        <v>2</v>
      </c>
      <c r="S30" s="29"/>
      <c r="T30" s="31"/>
    </row>
    <row r="31" spans="1:20" x14ac:dyDescent="0.2">
      <c r="A31" s="97">
        <v>23</v>
      </c>
      <c r="B31" s="94"/>
      <c r="C31" s="80" t="str">
        <f t="shared" si="1"/>
        <v>*</v>
      </c>
      <c r="D31" s="80" t="str">
        <f t="shared" si="1"/>
        <v xml:space="preserve"> </v>
      </c>
      <c r="E31" s="80" t="str">
        <f t="shared" si="1"/>
        <v xml:space="preserve"> </v>
      </c>
      <c r="F31" s="80" t="str">
        <f t="shared" si="1"/>
        <v xml:space="preserve"> </v>
      </c>
      <c r="G31" s="80" t="str">
        <f t="shared" si="1"/>
        <v xml:space="preserve"> </v>
      </c>
      <c r="H31" s="80" t="str">
        <f t="shared" si="1"/>
        <v xml:space="preserve"> </v>
      </c>
      <c r="I31" s="80" t="str">
        <f t="shared" si="1"/>
        <v xml:space="preserve"> </v>
      </c>
      <c r="J31" s="80" t="str">
        <f t="shared" si="1"/>
        <v xml:space="preserve"> </v>
      </c>
      <c r="K31" s="80" t="str">
        <f t="shared" si="1"/>
        <v xml:space="preserve"> </v>
      </c>
      <c r="L31" s="42" t="str">
        <f t="shared" si="2"/>
        <v xml:space="preserve">P001 - </v>
      </c>
      <c r="M31" s="62"/>
      <c r="N31" s="22" t="str">
        <f>IF(ISBLANK(A31),"",IFERROR((LOOKUP(M31,BOM!A:A,BOM!E:E))," "))</f>
        <v xml:space="preserve"> </v>
      </c>
      <c r="O31" s="21"/>
      <c r="P31" s="21"/>
      <c r="Q31" s="21" t="s">
        <v>0</v>
      </c>
      <c r="R31" s="21" t="s">
        <v>2</v>
      </c>
      <c r="S31" s="29"/>
      <c r="T31" s="31"/>
    </row>
    <row r="32" spans="1:20" x14ac:dyDescent="0.2">
      <c r="A32" s="97">
        <v>24</v>
      </c>
      <c r="B32" s="94"/>
      <c r="C32" s="80" t="str">
        <f t="shared" si="1"/>
        <v>*</v>
      </c>
      <c r="D32" s="80" t="str">
        <f t="shared" si="1"/>
        <v xml:space="preserve"> </v>
      </c>
      <c r="E32" s="80" t="str">
        <f t="shared" si="1"/>
        <v xml:space="preserve"> </v>
      </c>
      <c r="F32" s="80" t="str">
        <f t="shared" si="1"/>
        <v xml:space="preserve"> </v>
      </c>
      <c r="G32" s="80" t="str">
        <f t="shared" si="1"/>
        <v xml:space="preserve"> </v>
      </c>
      <c r="H32" s="80" t="str">
        <f t="shared" si="1"/>
        <v xml:space="preserve"> </v>
      </c>
      <c r="I32" s="80" t="str">
        <f t="shared" si="1"/>
        <v xml:space="preserve"> </v>
      </c>
      <c r="J32" s="80" t="str">
        <f t="shared" si="1"/>
        <v xml:space="preserve"> </v>
      </c>
      <c r="K32" s="80" t="str">
        <f t="shared" si="1"/>
        <v xml:space="preserve"> </v>
      </c>
      <c r="L32" s="42" t="str">
        <f t="shared" si="2"/>
        <v xml:space="preserve">P001 - </v>
      </c>
      <c r="M32" s="62"/>
      <c r="N32" s="22" t="str">
        <f>IF(ISBLANK(A32),"",IFERROR((LOOKUP(M32,BOM!A:A,BOM!E:E))," "))</f>
        <v xml:space="preserve"> </v>
      </c>
      <c r="O32" s="21"/>
      <c r="P32" s="21"/>
      <c r="Q32" s="21" t="s">
        <v>0</v>
      </c>
      <c r="R32" s="21" t="s">
        <v>2</v>
      </c>
      <c r="S32" s="29"/>
      <c r="T32" s="31"/>
    </row>
    <row r="33" spans="1:20" x14ac:dyDescent="0.2">
      <c r="A33" s="97">
        <v>25</v>
      </c>
      <c r="B33" s="94"/>
      <c r="C33" s="80" t="str">
        <f t="shared" si="1"/>
        <v>*</v>
      </c>
      <c r="D33" s="80" t="str">
        <f t="shared" si="1"/>
        <v xml:space="preserve"> </v>
      </c>
      <c r="E33" s="80" t="str">
        <f t="shared" si="1"/>
        <v xml:space="preserve"> </v>
      </c>
      <c r="F33" s="80" t="str">
        <f t="shared" si="1"/>
        <v xml:space="preserve"> </v>
      </c>
      <c r="G33" s="80" t="str">
        <f t="shared" si="1"/>
        <v xml:space="preserve"> </v>
      </c>
      <c r="H33" s="80" t="str">
        <f t="shared" si="1"/>
        <v xml:space="preserve"> </v>
      </c>
      <c r="I33" s="80" t="str">
        <f t="shared" si="1"/>
        <v xml:space="preserve"> </v>
      </c>
      <c r="J33" s="80" t="str">
        <f t="shared" si="1"/>
        <v xml:space="preserve"> </v>
      </c>
      <c r="K33" s="80" t="str">
        <f t="shared" si="1"/>
        <v xml:space="preserve"> </v>
      </c>
      <c r="L33" s="42" t="str">
        <f t="shared" si="2"/>
        <v xml:space="preserve">P001 - </v>
      </c>
      <c r="M33" s="62"/>
      <c r="N33" s="22" t="str">
        <f>IF(ISBLANK(A33),"",IFERROR((LOOKUP(M33,BOM!A:A,BOM!E:E))," "))</f>
        <v xml:space="preserve"> </v>
      </c>
      <c r="O33" s="21"/>
      <c r="P33" s="21"/>
      <c r="Q33" s="21" t="s">
        <v>0</v>
      </c>
      <c r="R33" s="21" t="s">
        <v>2</v>
      </c>
      <c r="S33" s="29"/>
      <c r="T33" s="31"/>
    </row>
    <row r="34" spans="1:20" x14ac:dyDescent="0.2">
      <c r="A34" s="97">
        <v>26</v>
      </c>
      <c r="B34" s="94"/>
      <c r="C34" s="80" t="str">
        <f t="shared" si="1"/>
        <v>*</v>
      </c>
      <c r="D34" s="80" t="str">
        <f t="shared" si="1"/>
        <v xml:space="preserve"> </v>
      </c>
      <c r="E34" s="80" t="str">
        <f t="shared" si="1"/>
        <v xml:space="preserve"> </v>
      </c>
      <c r="F34" s="80" t="str">
        <f t="shared" si="1"/>
        <v xml:space="preserve"> </v>
      </c>
      <c r="G34" s="80" t="str">
        <f t="shared" si="1"/>
        <v xml:space="preserve"> </v>
      </c>
      <c r="H34" s="80" t="str">
        <f t="shared" si="1"/>
        <v xml:space="preserve"> </v>
      </c>
      <c r="I34" s="80" t="str">
        <f t="shared" si="1"/>
        <v xml:space="preserve"> </v>
      </c>
      <c r="J34" s="80" t="str">
        <f t="shared" si="1"/>
        <v xml:space="preserve"> </v>
      </c>
      <c r="K34" s="80" t="str">
        <f t="shared" si="1"/>
        <v xml:space="preserve"> </v>
      </c>
      <c r="L34" s="42" t="str">
        <f t="shared" si="2"/>
        <v xml:space="preserve">P001 - </v>
      </c>
      <c r="M34" s="62"/>
      <c r="N34" s="22" t="str">
        <f>IF(ISBLANK(A34),"",IFERROR((LOOKUP(M34,BOM!A:A,BOM!E:E))," "))</f>
        <v xml:space="preserve"> </v>
      </c>
      <c r="O34" s="21"/>
      <c r="P34" s="21"/>
      <c r="Q34" s="21" t="s">
        <v>0</v>
      </c>
      <c r="R34" s="21" t="s">
        <v>2</v>
      </c>
      <c r="S34" s="29"/>
      <c r="T34" s="31"/>
    </row>
    <row r="35" spans="1:20" x14ac:dyDescent="0.2">
      <c r="A35" s="97">
        <v>27</v>
      </c>
      <c r="B35" s="94"/>
      <c r="C35" s="80" t="str">
        <f t="shared" si="1"/>
        <v>*</v>
      </c>
      <c r="D35" s="80" t="str">
        <f t="shared" si="1"/>
        <v xml:space="preserve"> </v>
      </c>
      <c r="E35" s="80" t="str">
        <f t="shared" si="1"/>
        <v xml:space="preserve"> </v>
      </c>
      <c r="F35" s="80" t="str">
        <f t="shared" si="1"/>
        <v xml:space="preserve"> </v>
      </c>
      <c r="G35" s="80" t="str">
        <f t="shared" si="1"/>
        <v xml:space="preserve"> </v>
      </c>
      <c r="H35" s="80" t="str">
        <f t="shared" si="1"/>
        <v xml:space="preserve"> </v>
      </c>
      <c r="I35" s="80" t="str">
        <f t="shared" si="1"/>
        <v xml:space="preserve"> </v>
      </c>
      <c r="J35" s="80" t="str">
        <f t="shared" si="1"/>
        <v xml:space="preserve"> </v>
      </c>
      <c r="K35" s="80" t="str">
        <f t="shared" si="1"/>
        <v xml:space="preserve"> </v>
      </c>
      <c r="L35" s="42" t="str">
        <f t="shared" si="2"/>
        <v xml:space="preserve">P001 - </v>
      </c>
      <c r="M35" s="62"/>
      <c r="N35" s="22" t="str">
        <f>IF(ISBLANK(A35),"",IFERROR((LOOKUP(M35,BOM!A:A,BOM!E:E))," "))</f>
        <v xml:space="preserve"> </v>
      </c>
      <c r="O35" s="21"/>
      <c r="P35" s="21"/>
      <c r="Q35" s="21" t="s">
        <v>0</v>
      </c>
      <c r="R35" s="21" t="s">
        <v>2</v>
      </c>
      <c r="S35" s="29"/>
      <c r="T35" s="31"/>
    </row>
    <row r="36" spans="1:20" x14ac:dyDescent="0.2">
      <c r="A36" s="97">
        <v>28</v>
      </c>
      <c r="B36" s="94"/>
      <c r="C36" s="80" t="str">
        <f t="shared" si="1"/>
        <v>*</v>
      </c>
      <c r="D36" s="80" t="str">
        <f t="shared" si="1"/>
        <v xml:space="preserve"> </v>
      </c>
      <c r="E36" s="80" t="str">
        <f t="shared" si="1"/>
        <v xml:space="preserve"> </v>
      </c>
      <c r="F36" s="80" t="str">
        <f t="shared" si="1"/>
        <v xml:space="preserve"> </v>
      </c>
      <c r="G36" s="80" t="str">
        <f t="shared" si="1"/>
        <v xml:space="preserve"> </v>
      </c>
      <c r="H36" s="80" t="str">
        <f t="shared" si="1"/>
        <v xml:space="preserve"> </v>
      </c>
      <c r="I36" s="80" t="str">
        <f t="shared" si="1"/>
        <v xml:space="preserve"> </v>
      </c>
      <c r="J36" s="80" t="str">
        <f t="shared" si="1"/>
        <v xml:space="preserve"> </v>
      </c>
      <c r="K36" s="80" t="str">
        <f t="shared" si="1"/>
        <v xml:space="preserve"> </v>
      </c>
      <c r="L36" s="42" t="str">
        <f t="shared" si="2"/>
        <v xml:space="preserve">P001 - </v>
      </c>
      <c r="M36" s="62"/>
      <c r="N36" s="22" t="str">
        <f>IF(ISBLANK(A36),"",IFERROR((LOOKUP(M36,BOM!A:A,BOM!E:E))," "))</f>
        <v xml:space="preserve"> </v>
      </c>
      <c r="O36" s="21"/>
      <c r="P36" s="21"/>
      <c r="Q36" s="21" t="s">
        <v>0</v>
      </c>
      <c r="R36" s="21" t="s">
        <v>2</v>
      </c>
      <c r="S36" s="29"/>
      <c r="T36" s="31"/>
    </row>
    <row r="37" spans="1:20" x14ac:dyDescent="0.2">
      <c r="A37" s="97">
        <v>29</v>
      </c>
      <c r="B37" s="94"/>
      <c r="C37" s="80" t="str">
        <f t="shared" si="1"/>
        <v>*</v>
      </c>
      <c r="D37" s="80" t="str">
        <f t="shared" si="1"/>
        <v xml:space="preserve"> </v>
      </c>
      <c r="E37" s="80" t="str">
        <f t="shared" si="1"/>
        <v xml:space="preserve"> </v>
      </c>
      <c r="F37" s="80" t="str">
        <f t="shared" si="1"/>
        <v xml:space="preserve"> </v>
      </c>
      <c r="G37" s="80" t="str">
        <f t="shared" si="1"/>
        <v xml:space="preserve"> </v>
      </c>
      <c r="H37" s="80" t="str">
        <f t="shared" si="1"/>
        <v xml:space="preserve"> </v>
      </c>
      <c r="I37" s="80" t="str">
        <f t="shared" si="1"/>
        <v xml:space="preserve"> </v>
      </c>
      <c r="J37" s="80" t="str">
        <f t="shared" si="1"/>
        <v xml:space="preserve"> </v>
      </c>
      <c r="K37" s="80" t="str">
        <f t="shared" si="1"/>
        <v xml:space="preserve"> </v>
      </c>
      <c r="L37" s="42" t="str">
        <f t="shared" si="2"/>
        <v xml:space="preserve">P001 - </v>
      </c>
      <c r="M37" s="62"/>
      <c r="N37" s="22" t="str">
        <f>IF(ISBLANK(A37),"",IFERROR((LOOKUP(M37,BOM!A:A,BOM!E:E))," "))</f>
        <v xml:space="preserve"> </v>
      </c>
      <c r="O37" s="21"/>
      <c r="P37" s="21"/>
      <c r="Q37" s="21" t="s">
        <v>0</v>
      </c>
      <c r="R37" s="21" t="s">
        <v>2</v>
      </c>
      <c r="S37" s="29"/>
      <c r="T37" s="31"/>
    </row>
    <row r="38" spans="1:20" x14ac:dyDescent="0.2">
      <c r="A38" s="97">
        <v>30</v>
      </c>
      <c r="B38" s="94"/>
      <c r="C38" s="80" t="str">
        <f t="shared" si="1"/>
        <v>*</v>
      </c>
      <c r="D38" s="80" t="str">
        <f t="shared" si="1"/>
        <v xml:space="preserve"> </v>
      </c>
      <c r="E38" s="80" t="str">
        <f t="shared" si="1"/>
        <v xml:space="preserve"> </v>
      </c>
      <c r="F38" s="80" t="str">
        <f t="shared" si="1"/>
        <v xml:space="preserve"> </v>
      </c>
      <c r="G38" s="80" t="str">
        <f t="shared" si="1"/>
        <v xml:space="preserve"> </v>
      </c>
      <c r="H38" s="80" t="str">
        <f t="shared" si="1"/>
        <v xml:space="preserve"> </v>
      </c>
      <c r="I38" s="80" t="str">
        <f t="shared" si="1"/>
        <v xml:space="preserve"> </v>
      </c>
      <c r="J38" s="80" t="str">
        <f t="shared" si="1"/>
        <v xml:space="preserve"> </v>
      </c>
      <c r="K38" s="80" t="str">
        <f t="shared" si="1"/>
        <v xml:space="preserve"> </v>
      </c>
      <c r="L38" s="42" t="str">
        <f t="shared" si="2"/>
        <v xml:space="preserve">P001 - </v>
      </c>
      <c r="M38" s="62"/>
      <c r="N38" s="22" t="str">
        <f>IF(ISBLANK(A38),"",IFERROR((LOOKUP(M38,BOM!A:A,BOM!E:E))," "))</f>
        <v xml:space="preserve"> </v>
      </c>
      <c r="O38" s="21"/>
      <c r="P38" s="21"/>
      <c r="Q38" s="21" t="s">
        <v>0</v>
      </c>
      <c r="R38" s="21" t="s">
        <v>2</v>
      </c>
      <c r="S38" s="29"/>
      <c r="T38" s="31"/>
    </row>
    <row r="39" spans="1:20" x14ac:dyDescent="0.2">
      <c r="A39" s="97">
        <v>31</v>
      </c>
      <c r="B39" s="94"/>
      <c r="C39" s="80" t="str">
        <f t="shared" si="1"/>
        <v>*</v>
      </c>
      <c r="D39" s="80" t="str">
        <f t="shared" si="1"/>
        <v xml:space="preserve"> </v>
      </c>
      <c r="E39" s="80" t="str">
        <f t="shared" si="1"/>
        <v xml:space="preserve"> </v>
      </c>
      <c r="F39" s="80" t="str">
        <f t="shared" si="1"/>
        <v xml:space="preserve"> </v>
      </c>
      <c r="G39" s="80" t="str">
        <f t="shared" si="1"/>
        <v xml:space="preserve"> </v>
      </c>
      <c r="H39" s="80" t="str">
        <f t="shared" si="1"/>
        <v xml:space="preserve"> </v>
      </c>
      <c r="I39" s="80" t="str">
        <f t="shared" si="1"/>
        <v xml:space="preserve"> </v>
      </c>
      <c r="J39" s="80" t="str">
        <f t="shared" si="1"/>
        <v xml:space="preserve"> </v>
      </c>
      <c r="K39" s="80" t="str">
        <f t="shared" si="1"/>
        <v xml:space="preserve"> </v>
      </c>
      <c r="L39" s="42" t="str">
        <f t="shared" si="2"/>
        <v xml:space="preserve">P001 - </v>
      </c>
      <c r="M39" s="62"/>
      <c r="N39" s="22" t="str">
        <f>IF(ISBLANK(A39),"",IFERROR((LOOKUP(M39,BOM!A:A,BOM!E:E))," "))</f>
        <v xml:space="preserve"> </v>
      </c>
      <c r="O39" s="21"/>
      <c r="P39" s="21"/>
      <c r="Q39" s="21" t="s">
        <v>0</v>
      </c>
      <c r="R39" s="21" t="s">
        <v>2</v>
      </c>
      <c r="S39" s="29"/>
      <c r="T39" s="31"/>
    </row>
    <row r="40" spans="1:20" x14ac:dyDescent="0.2">
      <c r="A40" s="97">
        <v>32</v>
      </c>
      <c r="B40" s="94"/>
      <c r="C40" s="80" t="str">
        <f t="shared" si="1"/>
        <v>*</v>
      </c>
      <c r="D40" s="80" t="str">
        <f t="shared" si="1"/>
        <v xml:space="preserve"> </v>
      </c>
      <c r="E40" s="80" t="str">
        <f t="shared" si="1"/>
        <v xml:space="preserve"> </v>
      </c>
      <c r="F40" s="80" t="str">
        <f t="shared" si="1"/>
        <v xml:space="preserve"> </v>
      </c>
      <c r="G40" s="80" t="str">
        <f t="shared" si="1"/>
        <v xml:space="preserve"> </v>
      </c>
      <c r="H40" s="80" t="str">
        <f t="shared" si="1"/>
        <v xml:space="preserve"> </v>
      </c>
      <c r="I40" s="80" t="str">
        <f t="shared" si="1"/>
        <v xml:space="preserve"> </v>
      </c>
      <c r="J40" s="80" t="str">
        <f t="shared" si="1"/>
        <v xml:space="preserve"> </v>
      </c>
      <c r="K40" s="80" t="str">
        <f t="shared" si="1"/>
        <v xml:space="preserve"> </v>
      </c>
      <c r="L40" s="42" t="str">
        <f t="shared" si="2"/>
        <v xml:space="preserve">P001 - </v>
      </c>
      <c r="M40" s="62"/>
      <c r="N40" s="22" t="str">
        <f>IF(ISBLANK(A40),"",IFERROR((LOOKUP(M40,BOM!A:A,BOM!E:E))," "))</f>
        <v xml:space="preserve"> </v>
      </c>
      <c r="O40" s="21"/>
      <c r="P40" s="21"/>
      <c r="Q40" s="21" t="s">
        <v>0</v>
      </c>
      <c r="R40" s="21" t="s">
        <v>2</v>
      </c>
      <c r="S40" s="29"/>
      <c r="T40" s="31"/>
    </row>
    <row r="41" spans="1:20" x14ac:dyDescent="0.2">
      <c r="A41" s="97">
        <v>33</v>
      </c>
      <c r="B41" s="94"/>
      <c r="C41" s="80" t="str">
        <f t="shared" si="1"/>
        <v>*</v>
      </c>
      <c r="D41" s="80" t="str">
        <f t="shared" si="1"/>
        <v xml:space="preserve"> </v>
      </c>
      <c r="E41" s="80" t="str">
        <f t="shared" si="1"/>
        <v xml:space="preserve"> </v>
      </c>
      <c r="F41" s="80" t="str">
        <f t="shared" si="1"/>
        <v xml:space="preserve"> </v>
      </c>
      <c r="G41" s="80" t="str">
        <f t="shared" si="1"/>
        <v xml:space="preserve"> </v>
      </c>
      <c r="H41" s="80" t="str">
        <f t="shared" si="1"/>
        <v xml:space="preserve"> </v>
      </c>
      <c r="I41" s="80" t="str">
        <f t="shared" si="1"/>
        <v xml:space="preserve"> </v>
      </c>
      <c r="J41" s="80" t="str">
        <f t="shared" si="1"/>
        <v xml:space="preserve"> </v>
      </c>
      <c r="K41" s="80" t="str">
        <f t="shared" si="1"/>
        <v xml:space="preserve"> </v>
      </c>
      <c r="L41" s="42" t="str">
        <f t="shared" si="2"/>
        <v xml:space="preserve">P001 - </v>
      </c>
      <c r="M41" s="62"/>
      <c r="N41" s="22" t="str">
        <f>IF(ISBLANK(A41),"",IFERROR((LOOKUP(M41,BOM!A:A,BOM!E:E))," "))</f>
        <v xml:space="preserve"> </v>
      </c>
      <c r="O41" s="21"/>
      <c r="P41" s="21"/>
      <c r="Q41" s="21" t="s">
        <v>0</v>
      </c>
      <c r="R41" s="21" t="s">
        <v>2</v>
      </c>
      <c r="S41" s="29"/>
      <c r="T41" s="31"/>
    </row>
    <row r="42" spans="1:20" x14ac:dyDescent="0.2">
      <c r="A42" s="97">
        <v>34</v>
      </c>
      <c r="B42" s="94"/>
      <c r="C42" s="80" t="str">
        <f t="shared" ref="C42:K68" si="3">IF($B42=C$8,"*"," ")</f>
        <v>*</v>
      </c>
      <c r="D42" s="80" t="str">
        <f t="shared" si="3"/>
        <v xml:space="preserve"> </v>
      </c>
      <c r="E42" s="80" t="str">
        <f t="shared" si="3"/>
        <v xml:space="preserve"> </v>
      </c>
      <c r="F42" s="80" t="str">
        <f t="shared" si="3"/>
        <v xml:space="preserve"> </v>
      </c>
      <c r="G42" s="80" t="str">
        <f t="shared" si="3"/>
        <v xml:space="preserve"> </v>
      </c>
      <c r="H42" s="80" t="str">
        <f t="shared" si="3"/>
        <v xml:space="preserve"> </v>
      </c>
      <c r="I42" s="80" t="str">
        <f t="shared" si="3"/>
        <v xml:space="preserve"> </v>
      </c>
      <c r="J42" s="80" t="str">
        <f t="shared" si="3"/>
        <v xml:space="preserve"> </v>
      </c>
      <c r="K42" s="80" t="str">
        <f t="shared" si="3"/>
        <v xml:space="preserve"> </v>
      </c>
      <c r="L42" s="42" t="str">
        <f t="shared" si="2"/>
        <v xml:space="preserve">P001 - </v>
      </c>
      <c r="M42" s="62"/>
      <c r="N42" s="22" t="str">
        <f>IF(ISBLANK(A42),"",IFERROR((LOOKUP(M42,BOM!A:A,BOM!E:E))," "))</f>
        <v xml:space="preserve"> </v>
      </c>
      <c r="O42" s="21"/>
      <c r="P42" s="21"/>
      <c r="Q42" s="21" t="s">
        <v>0</v>
      </c>
      <c r="R42" s="21" t="s">
        <v>2</v>
      </c>
      <c r="S42" s="29"/>
      <c r="T42" s="31"/>
    </row>
    <row r="43" spans="1:20" x14ac:dyDescent="0.2">
      <c r="A43" s="97">
        <v>35</v>
      </c>
      <c r="B43" s="94"/>
      <c r="C43" s="80" t="str">
        <f t="shared" si="3"/>
        <v>*</v>
      </c>
      <c r="D43" s="80" t="str">
        <f t="shared" si="3"/>
        <v xml:space="preserve"> </v>
      </c>
      <c r="E43" s="80" t="str">
        <f t="shared" si="3"/>
        <v xml:space="preserve"> </v>
      </c>
      <c r="F43" s="80" t="str">
        <f t="shared" si="3"/>
        <v xml:space="preserve"> </v>
      </c>
      <c r="G43" s="80" t="str">
        <f t="shared" si="3"/>
        <v xml:space="preserve"> </v>
      </c>
      <c r="H43" s="80" t="str">
        <f t="shared" si="3"/>
        <v xml:space="preserve"> </v>
      </c>
      <c r="I43" s="80" t="str">
        <f t="shared" si="3"/>
        <v xml:space="preserve"> </v>
      </c>
      <c r="J43" s="80" t="str">
        <f t="shared" si="3"/>
        <v xml:space="preserve"> </v>
      </c>
      <c r="K43" s="80" t="str">
        <f t="shared" si="3"/>
        <v xml:space="preserve"> </v>
      </c>
      <c r="L43" s="42" t="str">
        <f t="shared" si="2"/>
        <v xml:space="preserve">P001 - </v>
      </c>
      <c r="M43" s="62"/>
      <c r="N43" s="22" t="str">
        <f>IF(ISBLANK(A43),"",IFERROR((LOOKUP(M43,BOM!A:A,BOM!E:E))," "))</f>
        <v xml:space="preserve"> </v>
      </c>
      <c r="O43" s="21"/>
      <c r="P43" s="21"/>
      <c r="Q43" s="21" t="s">
        <v>0</v>
      </c>
      <c r="R43" s="21" t="s">
        <v>2</v>
      </c>
      <c r="S43" s="29"/>
      <c r="T43" s="31"/>
    </row>
    <row r="44" spans="1:20" x14ac:dyDescent="0.2">
      <c r="A44" s="97">
        <v>36</v>
      </c>
      <c r="B44" s="94"/>
      <c r="C44" s="80" t="str">
        <f t="shared" si="3"/>
        <v>*</v>
      </c>
      <c r="D44" s="80" t="str">
        <f t="shared" si="3"/>
        <v xml:space="preserve"> </v>
      </c>
      <c r="E44" s="80" t="str">
        <f t="shared" si="3"/>
        <v xml:space="preserve"> </v>
      </c>
      <c r="F44" s="80" t="str">
        <f t="shared" si="3"/>
        <v xml:space="preserve"> </v>
      </c>
      <c r="G44" s="80" t="str">
        <f t="shared" si="3"/>
        <v xml:space="preserve"> </v>
      </c>
      <c r="H44" s="80" t="str">
        <f t="shared" si="3"/>
        <v xml:space="preserve"> </v>
      </c>
      <c r="I44" s="80" t="str">
        <f t="shared" si="3"/>
        <v xml:space="preserve"> </v>
      </c>
      <c r="J44" s="80" t="str">
        <f t="shared" si="3"/>
        <v xml:space="preserve"> </v>
      </c>
      <c r="K44" s="80" t="str">
        <f t="shared" si="3"/>
        <v xml:space="preserve"> </v>
      </c>
      <c r="L44" s="42" t="str">
        <f t="shared" si="2"/>
        <v xml:space="preserve">P001 - </v>
      </c>
      <c r="M44" s="62"/>
      <c r="N44" s="22" t="str">
        <f>IF(ISBLANK(A44),"",IFERROR((LOOKUP(M44,BOM!A:A,BOM!E:E))," "))</f>
        <v xml:space="preserve"> </v>
      </c>
      <c r="O44" s="21"/>
      <c r="P44" s="21"/>
      <c r="Q44" s="21" t="s">
        <v>0</v>
      </c>
      <c r="R44" s="21" t="s">
        <v>2</v>
      </c>
      <c r="S44" s="29"/>
      <c r="T44" s="31"/>
    </row>
    <row r="45" spans="1:20" x14ac:dyDescent="0.2">
      <c r="A45" s="97">
        <v>37</v>
      </c>
      <c r="B45" s="94"/>
      <c r="C45" s="80" t="str">
        <f t="shared" si="3"/>
        <v>*</v>
      </c>
      <c r="D45" s="80" t="str">
        <f t="shared" si="3"/>
        <v xml:space="preserve"> </v>
      </c>
      <c r="E45" s="80" t="str">
        <f t="shared" si="3"/>
        <v xml:space="preserve"> </v>
      </c>
      <c r="F45" s="80" t="str">
        <f t="shared" si="3"/>
        <v xml:space="preserve"> </v>
      </c>
      <c r="G45" s="80" t="str">
        <f t="shared" si="3"/>
        <v xml:space="preserve"> </v>
      </c>
      <c r="H45" s="80" t="str">
        <f t="shared" si="3"/>
        <v xml:space="preserve"> </v>
      </c>
      <c r="I45" s="80" t="str">
        <f t="shared" si="3"/>
        <v xml:space="preserve"> </v>
      </c>
      <c r="J45" s="80" t="str">
        <f t="shared" si="3"/>
        <v xml:space="preserve"> </v>
      </c>
      <c r="K45" s="80" t="str">
        <f t="shared" si="3"/>
        <v xml:space="preserve"> </v>
      </c>
      <c r="L45" s="42" t="str">
        <f t="shared" si="2"/>
        <v xml:space="preserve">P001 - </v>
      </c>
      <c r="M45" s="62"/>
      <c r="N45" s="22" t="str">
        <f>IF(ISBLANK(A45),"",IFERROR((LOOKUP(M45,BOM!A:A,BOM!E:E))," "))</f>
        <v xml:space="preserve"> </v>
      </c>
      <c r="O45" s="21"/>
      <c r="P45" s="21"/>
      <c r="Q45" s="21" t="s">
        <v>0</v>
      </c>
      <c r="R45" s="21" t="s">
        <v>2</v>
      </c>
      <c r="S45" s="29"/>
      <c r="T45" s="31"/>
    </row>
    <row r="46" spans="1:20" x14ac:dyDescent="0.2">
      <c r="A46" s="97">
        <v>38</v>
      </c>
      <c r="B46" s="94"/>
      <c r="C46" s="80" t="str">
        <f t="shared" si="3"/>
        <v>*</v>
      </c>
      <c r="D46" s="80" t="str">
        <f t="shared" si="3"/>
        <v xml:space="preserve"> </v>
      </c>
      <c r="E46" s="80" t="str">
        <f t="shared" si="3"/>
        <v xml:space="preserve"> </v>
      </c>
      <c r="F46" s="80" t="str">
        <f t="shared" si="3"/>
        <v xml:space="preserve"> </v>
      </c>
      <c r="G46" s="80" t="str">
        <f t="shared" si="3"/>
        <v xml:space="preserve"> </v>
      </c>
      <c r="H46" s="80" t="str">
        <f t="shared" si="3"/>
        <v xml:space="preserve"> </v>
      </c>
      <c r="I46" s="80" t="str">
        <f t="shared" si="3"/>
        <v xml:space="preserve"> </v>
      </c>
      <c r="J46" s="80" t="str">
        <f t="shared" si="3"/>
        <v xml:space="preserve"> </v>
      </c>
      <c r="K46" s="80" t="str">
        <f t="shared" si="3"/>
        <v xml:space="preserve"> </v>
      </c>
      <c r="L46" s="42" t="str">
        <f t="shared" si="2"/>
        <v xml:space="preserve">P001 - </v>
      </c>
      <c r="M46" s="62"/>
      <c r="N46" s="22" t="str">
        <f>IF(ISBLANK(A46),"",IFERROR((LOOKUP(M46,BOM!A:A,BOM!E:E))," "))</f>
        <v xml:space="preserve"> </v>
      </c>
      <c r="O46" s="21"/>
      <c r="P46" s="21"/>
      <c r="Q46" s="21" t="s">
        <v>0</v>
      </c>
      <c r="R46" s="21" t="s">
        <v>2</v>
      </c>
      <c r="S46" s="29"/>
      <c r="T46" s="31"/>
    </row>
    <row r="47" spans="1:20" x14ac:dyDescent="0.2">
      <c r="A47" s="97">
        <v>39</v>
      </c>
      <c r="B47" s="94"/>
      <c r="C47" s="80" t="str">
        <f t="shared" si="3"/>
        <v>*</v>
      </c>
      <c r="D47" s="80" t="str">
        <f t="shared" si="3"/>
        <v xml:space="preserve"> </v>
      </c>
      <c r="E47" s="80" t="str">
        <f t="shared" si="3"/>
        <v xml:space="preserve"> </v>
      </c>
      <c r="F47" s="80" t="str">
        <f t="shared" si="3"/>
        <v xml:space="preserve"> </v>
      </c>
      <c r="G47" s="80" t="str">
        <f t="shared" si="3"/>
        <v xml:space="preserve"> </v>
      </c>
      <c r="H47" s="80" t="str">
        <f t="shared" si="3"/>
        <v xml:space="preserve"> </v>
      </c>
      <c r="I47" s="80" t="str">
        <f t="shared" si="3"/>
        <v xml:space="preserve"> </v>
      </c>
      <c r="J47" s="80" t="str">
        <f t="shared" si="3"/>
        <v xml:space="preserve"> </v>
      </c>
      <c r="K47" s="80" t="str">
        <f t="shared" si="3"/>
        <v xml:space="preserve"> </v>
      </c>
      <c r="L47" s="42" t="str">
        <f t="shared" si="2"/>
        <v xml:space="preserve">P001 - </v>
      </c>
      <c r="M47" s="62"/>
      <c r="N47" s="22" t="str">
        <f>IF(ISBLANK(A47),"",IFERROR((LOOKUP(M47,BOM!A:A,BOM!E:E))," "))</f>
        <v xml:space="preserve"> </v>
      </c>
      <c r="O47" s="21"/>
      <c r="P47" s="21"/>
      <c r="Q47" s="21" t="s">
        <v>0</v>
      </c>
      <c r="R47" s="21" t="s">
        <v>2</v>
      </c>
      <c r="S47" s="29"/>
      <c r="T47" s="31"/>
    </row>
    <row r="48" spans="1:20" x14ac:dyDescent="0.2">
      <c r="A48" s="97">
        <v>40</v>
      </c>
      <c r="B48" s="94"/>
      <c r="C48" s="80" t="str">
        <f t="shared" si="3"/>
        <v>*</v>
      </c>
      <c r="D48" s="80" t="str">
        <f t="shared" si="3"/>
        <v xml:space="preserve"> </v>
      </c>
      <c r="E48" s="80" t="str">
        <f t="shared" si="3"/>
        <v xml:space="preserve"> </v>
      </c>
      <c r="F48" s="80" t="str">
        <f t="shared" si="3"/>
        <v xml:space="preserve"> </v>
      </c>
      <c r="G48" s="80" t="str">
        <f t="shared" si="3"/>
        <v xml:space="preserve"> </v>
      </c>
      <c r="H48" s="80" t="str">
        <f t="shared" si="3"/>
        <v xml:space="preserve"> </v>
      </c>
      <c r="I48" s="80" t="str">
        <f t="shared" si="3"/>
        <v xml:space="preserve"> </v>
      </c>
      <c r="J48" s="80" t="str">
        <f t="shared" si="3"/>
        <v xml:space="preserve"> </v>
      </c>
      <c r="K48" s="80" t="str">
        <f t="shared" si="3"/>
        <v xml:space="preserve"> </v>
      </c>
      <c r="L48" s="42" t="str">
        <f t="shared" si="2"/>
        <v xml:space="preserve">P001 - </v>
      </c>
      <c r="M48" s="62"/>
      <c r="N48" s="22" t="str">
        <f>IF(ISBLANK(A48),"",IFERROR((LOOKUP(M48,BOM!A:A,BOM!E:E))," "))</f>
        <v xml:space="preserve"> </v>
      </c>
      <c r="O48" s="21"/>
      <c r="P48" s="21"/>
      <c r="Q48" s="21" t="s">
        <v>0</v>
      </c>
      <c r="R48" s="21" t="s">
        <v>2</v>
      </c>
      <c r="S48" s="29"/>
      <c r="T48" s="31"/>
    </row>
    <row r="49" spans="1:20" x14ac:dyDescent="0.2">
      <c r="A49" s="97">
        <v>41</v>
      </c>
      <c r="B49" s="94"/>
      <c r="C49" s="80" t="str">
        <f t="shared" si="3"/>
        <v>*</v>
      </c>
      <c r="D49" s="80" t="str">
        <f t="shared" si="3"/>
        <v xml:space="preserve"> </v>
      </c>
      <c r="E49" s="80" t="str">
        <f t="shared" si="3"/>
        <v xml:space="preserve"> </v>
      </c>
      <c r="F49" s="80" t="str">
        <f t="shared" si="3"/>
        <v xml:space="preserve"> </v>
      </c>
      <c r="G49" s="80" t="str">
        <f t="shared" si="3"/>
        <v xml:space="preserve"> </v>
      </c>
      <c r="H49" s="80" t="str">
        <f t="shared" si="3"/>
        <v xml:space="preserve"> </v>
      </c>
      <c r="I49" s="80" t="str">
        <f t="shared" si="3"/>
        <v xml:space="preserve"> </v>
      </c>
      <c r="J49" s="80" t="str">
        <f t="shared" si="3"/>
        <v xml:space="preserve"> </v>
      </c>
      <c r="K49" s="80" t="str">
        <f t="shared" si="3"/>
        <v xml:space="preserve"> </v>
      </c>
      <c r="L49" s="42" t="str">
        <f t="shared" si="2"/>
        <v xml:space="preserve">P001 - </v>
      </c>
      <c r="M49" s="62"/>
      <c r="N49" s="22" t="str">
        <f>IF(ISBLANK(A49),"",IFERROR((LOOKUP(M49,BOM!A:A,BOM!E:E))," "))</f>
        <v xml:space="preserve"> </v>
      </c>
      <c r="O49" s="21"/>
      <c r="P49" s="21"/>
      <c r="Q49" s="21" t="s">
        <v>0</v>
      </c>
      <c r="R49" s="21" t="s">
        <v>2</v>
      </c>
      <c r="S49" s="29"/>
      <c r="T49" s="31"/>
    </row>
    <row r="50" spans="1:20" x14ac:dyDescent="0.2">
      <c r="A50" s="97">
        <v>42</v>
      </c>
      <c r="B50" s="94"/>
      <c r="C50" s="80" t="str">
        <f t="shared" si="3"/>
        <v>*</v>
      </c>
      <c r="D50" s="80" t="str">
        <f t="shared" si="3"/>
        <v xml:space="preserve"> </v>
      </c>
      <c r="E50" s="80" t="str">
        <f t="shared" si="3"/>
        <v xml:space="preserve"> </v>
      </c>
      <c r="F50" s="80" t="str">
        <f t="shared" si="3"/>
        <v xml:space="preserve"> </v>
      </c>
      <c r="G50" s="80" t="str">
        <f t="shared" si="3"/>
        <v xml:space="preserve"> </v>
      </c>
      <c r="H50" s="80" t="str">
        <f t="shared" si="3"/>
        <v xml:space="preserve"> </v>
      </c>
      <c r="I50" s="80" t="str">
        <f t="shared" si="3"/>
        <v xml:space="preserve"> </v>
      </c>
      <c r="J50" s="80" t="str">
        <f t="shared" si="3"/>
        <v xml:space="preserve"> </v>
      </c>
      <c r="K50" s="80" t="str">
        <f t="shared" si="3"/>
        <v xml:space="preserve"> </v>
      </c>
      <c r="L50" s="42" t="str">
        <f t="shared" si="2"/>
        <v xml:space="preserve">P001 - </v>
      </c>
      <c r="M50" s="62"/>
      <c r="N50" s="22" t="str">
        <f>IF(ISBLANK(A50),"",IFERROR((LOOKUP(M50,BOM!A:A,BOM!E:E))," "))</f>
        <v xml:space="preserve"> </v>
      </c>
      <c r="O50" s="21"/>
      <c r="P50" s="21"/>
      <c r="Q50" s="21" t="s">
        <v>0</v>
      </c>
      <c r="R50" s="21" t="s">
        <v>2</v>
      </c>
      <c r="S50" s="29"/>
      <c r="T50" s="31"/>
    </row>
    <row r="51" spans="1:20" x14ac:dyDescent="0.2">
      <c r="A51" s="97">
        <v>43</v>
      </c>
      <c r="B51" s="94"/>
      <c r="C51" s="80" t="str">
        <f t="shared" si="3"/>
        <v>*</v>
      </c>
      <c r="D51" s="80" t="str">
        <f t="shared" si="3"/>
        <v xml:space="preserve"> </v>
      </c>
      <c r="E51" s="80" t="str">
        <f t="shared" si="3"/>
        <v xml:space="preserve"> </v>
      </c>
      <c r="F51" s="80" t="str">
        <f t="shared" si="3"/>
        <v xml:space="preserve"> </v>
      </c>
      <c r="G51" s="80" t="str">
        <f t="shared" si="3"/>
        <v xml:space="preserve"> </v>
      </c>
      <c r="H51" s="80" t="str">
        <f t="shared" si="3"/>
        <v xml:space="preserve"> </v>
      </c>
      <c r="I51" s="80" t="str">
        <f t="shared" si="3"/>
        <v xml:space="preserve"> </v>
      </c>
      <c r="J51" s="80" t="str">
        <f t="shared" si="3"/>
        <v xml:space="preserve"> </v>
      </c>
      <c r="K51" s="80" t="str">
        <f t="shared" si="3"/>
        <v xml:space="preserve"> </v>
      </c>
      <c r="L51" s="42" t="str">
        <f t="shared" si="2"/>
        <v xml:space="preserve">P001 - </v>
      </c>
      <c r="M51" s="62"/>
      <c r="N51" s="22" t="str">
        <f>IF(ISBLANK(A51),"",IFERROR((LOOKUP(M51,BOM!A:A,BOM!E:E))," "))</f>
        <v xml:space="preserve"> </v>
      </c>
      <c r="O51" s="21"/>
      <c r="P51" s="21"/>
      <c r="Q51" s="21" t="s">
        <v>0</v>
      </c>
      <c r="R51" s="21" t="s">
        <v>2</v>
      </c>
      <c r="S51" s="29"/>
      <c r="T51" s="31"/>
    </row>
    <row r="52" spans="1:20" x14ac:dyDescent="0.2">
      <c r="A52" s="97">
        <v>44</v>
      </c>
      <c r="B52" s="94"/>
      <c r="C52" s="80" t="str">
        <f t="shared" si="3"/>
        <v>*</v>
      </c>
      <c r="D52" s="80" t="str">
        <f t="shared" si="3"/>
        <v xml:space="preserve"> </v>
      </c>
      <c r="E52" s="80" t="str">
        <f t="shared" si="3"/>
        <v xml:space="preserve"> </v>
      </c>
      <c r="F52" s="80" t="str">
        <f t="shared" si="3"/>
        <v xml:space="preserve"> </v>
      </c>
      <c r="G52" s="80" t="str">
        <f t="shared" si="3"/>
        <v xml:space="preserve"> </v>
      </c>
      <c r="H52" s="80" t="str">
        <f t="shared" si="3"/>
        <v xml:space="preserve"> </v>
      </c>
      <c r="I52" s="80" t="str">
        <f t="shared" si="3"/>
        <v xml:space="preserve"> </v>
      </c>
      <c r="J52" s="80" t="str">
        <f t="shared" si="3"/>
        <v xml:space="preserve"> </v>
      </c>
      <c r="K52" s="80" t="str">
        <f t="shared" si="3"/>
        <v xml:space="preserve"> </v>
      </c>
      <c r="L52" s="42" t="str">
        <f t="shared" si="2"/>
        <v xml:space="preserve">P001 - </v>
      </c>
      <c r="M52" s="62"/>
      <c r="N52" s="22" t="str">
        <f>IF(ISBLANK(A52),"",IFERROR((LOOKUP(M52,BOM!A:A,BOM!E:E))," "))</f>
        <v xml:space="preserve"> </v>
      </c>
      <c r="O52" s="21"/>
      <c r="P52" s="21"/>
      <c r="Q52" s="21" t="s">
        <v>0</v>
      </c>
      <c r="R52" s="21" t="s">
        <v>2</v>
      </c>
      <c r="S52" s="29"/>
      <c r="T52" s="31"/>
    </row>
    <row r="53" spans="1:20" x14ac:dyDescent="0.2">
      <c r="A53" s="97">
        <v>45</v>
      </c>
      <c r="B53" s="94"/>
      <c r="C53" s="80" t="str">
        <f t="shared" si="3"/>
        <v>*</v>
      </c>
      <c r="D53" s="80" t="str">
        <f t="shared" si="3"/>
        <v xml:space="preserve"> </v>
      </c>
      <c r="E53" s="80" t="str">
        <f t="shared" si="3"/>
        <v xml:space="preserve"> </v>
      </c>
      <c r="F53" s="80" t="str">
        <f t="shared" si="3"/>
        <v xml:space="preserve"> </v>
      </c>
      <c r="G53" s="80" t="str">
        <f t="shared" si="3"/>
        <v xml:space="preserve"> </v>
      </c>
      <c r="H53" s="80" t="str">
        <f t="shared" si="3"/>
        <v xml:space="preserve"> </v>
      </c>
      <c r="I53" s="80" t="str">
        <f t="shared" si="3"/>
        <v xml:space="preserve"> </v>
      </c>
      <c r="J53" s="80" t="str">
        <f t="shared" si="3"/>
        <v xml:space="preserve"> </v>
      </c>
      <c r="K53" s="80" t="str">
        <f t="shared" si="3"/>
        <v xml:space="preserve"> </v>
      </c>
      <c r="L53" s="42" t="str">
        <f t="shared" si="2"/>
        <v xml:space="preserve">P001 - </v>
      </c>
      <c r="M53" s="62"/>
      <c r="N53" s="22" t="str">
        <f>IF(ISBLANK(A53),"",IFERROR((LOOKUP(M53,BOM!A:A,BOM!E:E))," "))</f>
        <v xml:space="preserve"> </v>
      </c>
      <c r="O53" s="21"/>
      <c r="P53" s="21"/>
      <c r="Q53" s="21" t="s">
        <v>0</v>
      </c>
      <c r="R53" s="21" t="s">
        <v>2</v>
      </c>
      <c r="S53" s="29"/>
      <c r="T53" s="31"/>
    </row>
    <row r="54" spans="1:20" x14ac:dyDescent="0.2">
      <c r="A54" s="97">
        <v>46</v>
      </c>
      <c r="B54" s="94"/>
      <c r="C54" s="80" t="str">
        <f t="shared" si="3"/>
        <v>*</v>
      </c>
      <c r="D54" s="80" t="str">
        <f t="shared" si="3"/>
        <v xml:space="preserve"> </v>
      </c>
      <c r="E54" s="80" t="str">
        <f t="shared" si="3"/>
        <v xml:space="preserve"> </v>
      </c>
      <c r="F54" s="80" t="str">
        <f t="shared" si="3"/>
        <v xml:space="preserve"> </v>
      </c>
      <c r="G54" s="80" t="str">
        <f t="shared" si="3"/>
        <v xml:space="preserve"> </v>
      </c>
      <c r="H54" s="80" t="str">
        <f t="shared" si="3"/>
        <v xml:space="preserve"> </v>
      </c>
      <c r="I54" s="80" t="str">
        <f t="shared" si="3"/>
        <v xml:space="preserve"> </v>
      </c>
      <c r="J54" s="80" t="str">
        <f t="shared" si="3"/>
        <v xml:space="preserve"> </v>
      </c>
      <c r="K54" s="80" t="str">
        <f t="shared" si="3"/>
        <v xml:space="preserve"> </v>
      </c>
      <c r="L54" s="42" t="str">
        <f t="shared" si="2"/>
        <v xml:space="preserve">P001 - </v>
      </c>
      <c r="M54" s="62"/>
      <c r="N54" s="22" t="str">
        <f>IF(ISBLANK(A54),"",IFERROR((LOOKUP(M54,BOM!A:A,BOM!E:E))," "))</f>
        <v xml:space="preserve"> </v>
      </c>
      <c r="O54" s="21"/>
      <c r="P54" s="21"/>
      <c r="Q54" s="21" t="s">
        <v>0</v>
      </c>
      <c r="R54" s="21" t="s">
        <v>2</v>
      </c>
      <c r="S54" s="29"/>
      <c r="T54" s="31"/>
    </row>
    <row r="55" spans="1:20" x14ac:dyDescent="0.2">
      <c r="A55" s="97">
        <v>47</v>
      </c>
      <c r="B55" s="94"/>
      <c r="C55" s="80" t="str">
        <f t="shared" si="3"/>
        <v>*</v>
      </c>
      <c r="D55" s="80" t="str">
        <f t="shared" si="3"/>
        <v xml:space="preserve"> </v>
      </c>
      <c r="E55" s="80" t="str">
        <f t="shared" si="3"/>
        <v xml:space="preserve"> </v>
      </c>
      <c r="F55" s="80" t="str">
        <f t="shared" si="3"/>
        <v xml:space="preserve"> </v>
      </c>
      <c r="G55" s="80" t="str">
        <f t="shared" si="3"/>
        <v xml:space="preserve"> </v>
      </c>
      <c r="H55" s="80" t="str">
        <f t="shared" si="3"/>
        <v xml:space="preserve"> </v>
      </c>
      <c r="I55" s="80" t="str">
        <f t="shared" si="3"/>
        <v xml:space="preserve"> </v>
      </c>
      <c r="J55" s="80" t="str">
        <f t="shared" si="3"/>
        <v xml:space="preserve"> </v>
      </c>
      <c r="K55" s="80" t="str">
        <f t="shared" si="3"/>
        <v xml:space="preserve"> </v>
      </c>
      <c r="L55" s="42" t="str">
        <f t="shared" si="2"/>
        <v xml:space="preserve">P001 - </v>
      </c>
      <c r="M55" s="62"/>
      <c r="N55" s="22" t="str">
        <f>IF(ISBLANK(A55),"",IFERROR((LOOKUP(M55,BOM!A:A,BOM!E:E))," "))</f>
        <v xml:space="preserve"> </v>
      </c>
      <c r="O55" s="21"/>
      <c r="P55" s="21"/>
      <c r="Q55" s="21" t="s">
        <v>0</v>
      </c>
      <c r="R55" s="21" t="s">
        <v>1</v>
      </c>
      <c r="S55" s="29"/>
      <c r="T55" s="31"/>
    </row>
    <row r="56" spans="1:20" x14ac:dyDescent="0.2">
      <c r="A56" s="97">
        <v>48</v>
      </c>
      <c r="B56" s="94"/>
      <c r="C56" s="80" t="str">
        <f t="shared" si="3"/>
        <v>*</v>
      </c>
      <c r="D56" s="80" t="str">
        <f t="shared" si="3"/>
        <v xml:space="preserve"> </v>
      </c>
      <c r="E56" s="80" t="str">
        <f t="shared" si="3"/>
        <v xml:space="preserve"> </v>
      </c>
      <c r="F56" s="80" t="str">
        <f t="shared" si="3"/>
        <v xml:space="preserve"> </v>
      </c>
      <c r="G56" s="80" t="str">
        <f t="shared" si="3"/>
        <v xml:space="preserve"> </v>
      </c>
      <c r="H56" s="80" t="str">
        <f t="shared" si="3"/>
        <v xml:space="preserve"> </v>
      </c>
      <c r="I56" s="80" t="str">
        <f t="shared" si="3"/>
        <v xml:space="preserve"> </v>
      </c>
      <c r="J56" s="80" t="str">
        <f t="shared" si="3"/>
        <v xml:space="preserve"> </v>
      </c>
      <c r="K56" s="80" t="str">
        <f t="shared" si="3"/>
        <v xml:space="preserve"> </v>
      </c>
      <c r="L56" s="42" t="str">
        <f t="shared" si="2"/>
        <v xml:space="preserve">P001 - </v>
      </c>
      <c r="M56" s="62"/>
      <c r="N56" s="22" t="str">
        <f>IF(ISBLANK(A56),"",IFERROR((LOOKUP(M56,BOM!A:A,BOM!E:E))," "))</f>
        <v xml:space="preserve"> </v>
      </c>
      <c r="O56" s="21"/>
      <c r="P56" s="21"/>
      <c r="Q56" s="21" t="s">
        <v>0</v>
      </c>
      <c r="R56" s="21" t="s">
        <v>2</v>
      </c>
      <c r="S56" s="17"/>
      <c r="T56" s="31"/>
    </row>
    <row r="57" spans="1:20" x14ac:dyDescent="0.2">
      <c r="A57" s="97">
        <v>49</v>
      </c>
      <c r="B57" s="94"/>
      <c r="C57" s="80" t="str">
        <f t="shared" si="3"/>
        <v>*</v>
      </c>
      <c r="D57" s="80" t="str">
        <f t="shared" si="3"/>
        <v xml:space="preserve"> </v>
      </c>
      <c r="E57" s="80" t="str">
        <f t="shared" si="3"/>
        <v xml:space="preserve"> </v>
      </c>
      <c r="F57" s="80" t="str">
        <f t="shared" si="3"/>
        <v xml:space="preserve"> </v>
      </c>
      <c r="G57" s="80" t="str">
        <f t="shared" si="3"/>
        <v xml:space="preserve"> </v>
      </c>
      <c r="H57" s="80" t="str">
        <f t="shared" si="3"/>
        <v xml:space="preserve"> </v>
      </c>
      <c r="I57" s="80" t="str">
        <f t="shared" si="3"/>
        <v xml:space="preserve"> </v>
      </c>
      <c r="J57" s="80" t="str">
        <f t="shared" si="3"/>
        <v xml:space="preserve"> </v>
      </c>
      <c r="K57" s="80" t="str">
        <f t="shared" si="3"/>
        <v xml:space="preserve"> </v>
      </c>
      <c r="L57" s="42" t="str">
        <f t="shared" si="2"/>
        <v xml:space="preserve">P001 - </v>
      </c>
      <c r="M57" s="62"/>
      <c r="N57" s="22" t="str">
        <f>IF(ISBLANK(A57),"",IFERROR((LOOKUP(M57,BOM!A:A,BOM!E:E))," "))</f>
        <v xml:space="preserve"> </v>
      </c>
      <c r="O57" s="21"/>
      <c r="P57" s="21"/>
      <c r="Q57" s="21" t="s">
        <v>0</v>
      </c>
      <c r="R57" s="21" t="s">
        <v>2</v>
      </c>
      <c r="S57" s="17"/>
      <c r="T57" s="31"/>
    </row>
    <row r="58" spans="1:20" x14ac:dyDescent="0.2">
      <c r="A58" s="97">
        <v>50</v>
      </c>
      <c r="B58" s="94"/>
      <c r="C58" s="80" t="str">
        <f t="shared" si="3"/>
        <v>*</v>
      </c>
      <c r="D58" s="80" t="str">
        <f t="shared" si="3"/>
        <v xml:space="preserve"> </v>
      </c>
      <c r="E58" s="80" t="str">
        <f t="shared" si="3"/>
        <v xml:space="preserve"> </v>
      </c>
      <c r="F58" s="80" t="str">
        <f t="shared" si="3"/>
        <v xml:space="preserve"> </v>
      </c>
      <c r="G58" s="80" t="str">
        <f t="shared" si="3"/>
        <v xml:space="preserve"> </v>
      </c>
      <c r="H58" s="80" t="str">
        <f t="shared" si="3"/>
        <v xml:space="preserve"> </v>
      </c>
      <c r="I58" s="80" t="str">
        <f t="shared" si="3"/>
        <v xml:space="preserve"> </v>
      </c>
      <c r="J58" s="80" t="str">
        <f t="shared" si="3"/>
        <v xml:space="preserve"> </v>
      </c>
      <c r="K58" s="80" t="str">
        <f t="shared" si="3"/>
        <v xml:space="preserve"> </v>
      </c>
      <c r="L58" s="42" t="str">
        <f t="shared" si="2"/>
        <v xml:space="preserve">P001 - </v>
      </c>
      <c r="M58" s="62"/>
      <c r="N58" s="22" t="str">
        <f>IF(ISBLANK(A58),"",IFERROR((LOOKUP(M58,BOM!A:A,BOM!E:E))," "))</f>
        <v xml:space="preserve"> </v>
      </c>
      <c r="O58" s="21"/>
      <c r="P58" s="21"/>
      <c r="Q58" s="21" t="s">
        <v>0</v>
      </c>
      <c r="R58" s="21" t="s">
        <v>1</v>
      </c>
      <c r="S58" s="17"/>
      <c r="T58" s="31"/>
    </row>
    <row r="59" spans="1:20" x14ac:dyDescent="0.2">
      <c r="A59" s="97">
        <v>51</v>
      </c>
      <c r="B59" s="94"/>
      <c r="C59" s="80" t="str">
        <f t="shared" si="3"/>
        <v>*</v>
      </c>
      <c r="D59" s="80" t="str">
        <f t="shared" si="3"/>
        <v xml:space="preserve"> </v>
      </c>
      <c r="E59" s="80" t="str">
        <f t="shared" si="3"/>
        <v xml:space="preserve"> </v>
      </c>
      <c r="F59" s="80" t="str">
        <f t="shared" si="3"/>
        <v xml:space="preserve"> </v>
      </c>
      <c r="G59" s="80" t="str">
        <f t="shared" si="3"/>
        <v xml:space="preserve"> </v>
      </c>
      <c r="H59" s="80" t="str">
        <f t="shared" si="3"/>
        <v xml:space="preserve"> </v>
      </c>
      <c r="I59" s="80" t="str">
        <f t="shared" si="3"/>
        <v xml:space="preserve"> </v>
      </c>
      <c r="J59" s="80" t="str">
        <f t="shared" si="3"/>
        <v xml:space="preserve"> </v>
      </c>
      <c r="K59" s="80" t="str">
        <f t="shared" si="3"/>
        <v xml:space="preserve"> </v>
      </c>
      <c r="L59" s="42" t="str">
        <f t="shared" si="2"/>
        <v xml:space="preserve">P001 - </v>
      </c>
      <c r="M59" s="62"/>
      <c r="N59" s="22" t="str">
        <f>IF(ISBLANK(A59),"",IFERROR((LOOKUP(M59,BOM!A:A,BOM!E:E))," "))</f>
        <v xml:space="preserve"> </v>
      </c>
      <c r="O59" s="21"/>
      <c r="P59" s="21"/>
      <c r="Q59" s="21" t="s">
        <v>0</v>
      </c>
      <c r="R59" s="21" t="s">
        <v>2</v>
      </c>
      <c r="S59" s="17"/>
      <c r="T59" s="31"/>
    </row>
    <row r="60" spans="1:20" x14ac:dyDescent="0.2">
      <c r="A60" s="97">
        <v>52</v>
      </c>
      <c r="B60" s="94"/>
      <c r="C60" s="80" t="str">
        <f t="shared" si="3"/>
        <v>*</v>
      </c>
      <c r="D60" s="80" t="str">
        <f t="shared" si="3"/>
        <v xml:space="preserve"> </v>
      </c>
      <c r="E60" s="80" t="str">
        <f t="shared" si="3"/>
        <v xml:space="preserve"> </v>
      </c>
      <c r="F60" s="80" t="str">
        <f t="shared" si="3"/>
        <v xml:space="preserve"> </v>
      </c>
      <c r="G60" s="80" t="str">
        <f t="shared" si="3"/>
        <v xml:space="preserve"> </v>
      </c>
      <c r="H60" s="80" t="str">
        <f t="shared" si="3"/>
        <v xml:space="preserve"> </v>
      </c>
      <c r="I60" s="80" t="str">
        <f t="shared" si="3"/>
        <v xml:space="preserve"> </v>
      </c>
      <c r="J60" s="80" t="str">
        <f t="shared" si="3"/>
        <v xml:space="preserve"> </v>
      </c>
      <c r="K60" s="80" t="str">
        <f t="shared" si="3"/>
        <v xml:space="preserve"> </v>
      </c>
      <c r="L60" s="42" t="str">
        <f t="shared" si="2"/>
        <v xml:space="preserve">P001 - </v>
      </c>
      <c r="M60" s="62"/>
      <c r="N60" s="22" t="str">
        <f>IF(ISBLANK(A60),"",IFERROR((LOOKUP(M60,BOM!A:A,BOM!E:E))," "))</f>
        <v xml:space="preserve"> </v>
      </c>
      <c r="O60" s="21"/>
      <c r="P60" s="21"/>
      <c r="Q60" s="21" t="s">
        <v>0</v>
      </c>
      <c r="R60" s="21" t="s">
        <v>1</v>
      </c>
      <c r="S60" s="17"/>
      <c r="T60" s="31"/>
    </row>
    <row r="61" spans="1:20" x14ac:dyDescent="0.2">
      <c r="A61" s="97">
        <v>53</v>
      </c>
      <c r="B61" s="94"/>
      <c r="C61" s="80" t="str">
        <f t="shared" si="3"/>
        <v>*</v>
      </c>
      <c r="D61" s="80" t="str">
        <f t="shared" si="3"/>
        <v xml:space="preserve"> </v>
      </c>
      <c r="E61" s="80" t="str">
        <f t="shared" si="3"/>
        <v xml:space="preserve"> </v>
      </c>
      <c r="F61" s="80" t="str">
        <f t="shared" si="3"/>
        <v xml:space="preserve"> </v>
      </c>
      <c r="G61" s="80" t="str">
        <f t="shared" si="3"/>
        <v xml:space="preserve"> </v>
      </c>
      <c r="H61" s="80" t="str">
        <f t="shared" si="3"/>
        <v xml:space="preserve"> </v>
      </c>
      <c r="I61" s="80" t="str">
        <f t="shared" si="3"/>
        <v xml:space="preserve"> </v>
      </c>
      <c r="J61" s="80" t="str">
        <f t="shared" si="3"/>
        <v xml:space="preserve"> </v>
      </c>
      <c r="K61" s="80" t="str">
        <f t="shared" si="3"/>
        <v xml:space="preserve"> </v>
      </c>
      <c r="L61" s="42" t="str">
        <f t="shared" si="2"/>
        <v xml:space="preserve">P001 - </v>
      </c>
      <c r="M61" s="62"/>
      <c r="N61" s="22" t="str">
        <f>IF(ISBLANK(A61),"",IFERROR((LOOKUP(M61,BOM!A:A,BOM!E:E))," "))</f>
        <v xml:space="preserve"> </v>
      </c>
      <c r="O61" s="21"/>
      <c r="P61" s="21"/>
      <c r="Q61" s="21" t="s">
        <v>0</v>
      </c>
      <c r="R61" s="21" t="s">
        <v>2</v>
      </c>
      <c r="S61" s="17"/>
      <c r="T61" s="31"/>
    </row>
    <row r="62" spans="1:20" x14ac:dyDescent="0.2">
      <c r="A62" s="97">
        <v>54</v>
      </c>
      <c r="B62" s="94"/>
      <c r="C62" s="80" t="str">
        <f t="shared" si="3"/>
        <v>*</v>
      </c>
      <c r="D62" s="80" t="str">
        <f t="shared" si="3"/>
        <v xml:space="preserve"> </v>
      </c>
      <c r="E62" s="80" t="str">
        <f t="shared" si="3"/>
        <v xml:space="preserve"> </v>
      </c>
      <c r="F62" s="80" t="str">
        <f t="shared" si="3"/>
        <v xml:space="preserve"> </v>
      </c>
      <c r="G62" s="80" t="str">
        <f t="shared" si="3"/>
        <v xml:space="preserve"> </v>
      </c>
      <c r="H62" s="80" t="str">
        <f t="shared" si="3"/>
        <v xml:space="preserve"> </v>
      </c>
      <c r="I62" s="80" t="str">
        <f t="shared" si="3"/>
        <v xml:space="preserve"> </v>
      </c>
      <c r="J62" s="80" t="str">
        <f t="shared" si="3"/>
        <v xml:space="preserve"> </v>
      </c>
      <c r="K62" s="80" t="str">
        <f t="shared" si="3"/>
        <v xml:space="preserve"> </v>
      </c>
      <c r="L62" s="42" t="str">
        <f t="shared" si="2"/>
        <v xml:space="preserve">P001 - </v>
      </c>
      <c r="M62" s="62"/>
      <c r="N62" s="22" t="str">
        <f>IF(ISBLANK(A62),"",IFERROR((LOOKUP(M62,BOM!A:A,BOM!E:E))," "))</f>
        <v xml:space="preserve"> </v>
      </c>
      <c r="O62" s="21"/>
      <c r="P62" s="21"/>
      <c r="Q62" s="21" t="s">
        <v>0</v>
      </c>
      <c r="R62" s="21" t="s">
        <v>1</v>
      </c>
      <c r="S62" s="17"/>
      <c r="T62" s="31"/>
    </row>
    <row r="63" spans="1:20" x14ac:dyDescent="0.2">
      <c r="A63" s="97">
        <v>55</v>
      </c>
      <c r="B63" s="94"/>
      <c r="C63" s="80" t="str">
        <f t="shared" si="3"/>
        <v>*</v>
      </c>
      <c r="D63" s="80" t="str">
        <f t="shared" si="3"/>
        <v xml:space="preserve"> </v>
      </c>
      <c r="E63" s="80" t="str">
        <f t="shared" si="3"/>
        <v xml:space="preserve"> </v>
      </c>
      <c r="F63" s="80" t="str">
        <f t="shared" si="3"/>
        <v xml:space="preserve"> </v>
      </c>
      <c r="G63" s="80" t="str">
        <f t="shared" si="3"/>
        <v xml:space="preserve"> </v>
      </c>
      <c r="H63" s="80" t="str">
        <f t="shared" si="3"/>
        <v xml:space="preserve"> </v>
      </c>
      <c r="I63" s="80" t="str">
        <f t="shared" si="3"/>
        <v xml:space="preserve"> </v>
      </c>
      <c r="J63" s="80" t="str">
        <f t="shared" si="3"/>
        <v xml:space="preserve"> </v>
      </c>
      <c r="K63" s="80" t="str">
        <f t="shared" si="3"/>
        <v xml:space="preserve"> </v>
      </c>
      <c r="L63" s="42" t="str">
        <f t="shared" si="2"/>
        <v xml:space="preserve">P001 - </v>
      </c>
      <c r="M63" s="62"/>
      <c r="N63" s="22" t="str">
        <f>IF(ISBLANK(A63),"",IFERROR((LOOKUP(M63,BOM!A:A,BOM!E:E))," "))</f>
        <v xml:space="preserve"> </v>
      </c>
      <c r="O63" s="21"/>
      <c r="P63" s="21"/>
      <c r="Q63" s="21" t="s">
        <v>0</v>
      </c>
      <c r="R63" s="21" t="s">
        <v>1</v>
      </c>
      <c r="S63" s="17"/>
      <c r="T63" s="31"/>
    </row>
    <row r="64" spans="1:20" x14ac:dyDescent="0.2">
      <c r="A64" s="97">
        <v>56</v>
      </c>
      <c r="B64" s="94"/>
      <c r="C64" s="80" t="str">
        <f t="shared" si="3"/>
        <v>*</v>
      </c>
      <c r="D64" s="80" t="str">
        <f t="shared" si="3"/>
        <v xml:space="preserve"> </v>
      </c>
      <c r="E64" s="80" t="str">
        <f t="shared" si="3"/>
        <v xml:space="preserve"> </v>
      </c>
      <c r="F64" s="80" t="str">
        <f t="shared" si="3"/>
        <v xml:space="preserve"> </v>
      </c>
      <c r="G64" s="80" t="str">
        <f t="shared" si="3"/>
        <v xml:space="preserve"> </v>
      </c>
      <c r="H64" s="80" t="str">
        <f t="shared" si="3"/>
        <v xml:space="preserve"> </v>
      </c>
      <c r="I64" s="80" t="str">
        <f t="shared" si="3"/>
        <v xml:space="preserve"> </v>
      </c>
      <c r="J64" s="80" t="str">
        <f t="shared" si="3"/>
        <v xml:space="preserve"> </v>
      </c>
      <c r="K64" s="80" t="str">
        <f t="shared" si="3"/>
        <v xml:space="preserve"> </v>
      </c>
      <c r="L64" s="42" t="str">
        <f t="shared" si="2"/>
        <v xml:space="preserve">P001 - </v>
      </c>
      <c r="M64" s="62"/>
      <c r="N64" s="22" t="str">
        <f>IF(ISBLANK(A64),"",IFERROR((LOOKUP(M64,BOM!A:A,BOM!E:E))," "))</f>
        <v xml:space="preserve"> </v>
      </c>
      <c r="O64" s="21"/>
      <c r="P64" s="21"/>
      <c r="Q64" s="21" t="s">
        <v>0</v>
      </c>
      <c r="R64" s="21" t="s">
        <v>1</v>
      </c>
      <c r="S64" s="17"/>
      <c r="T64" s="31"/>
    </row>
    <row r="65" spans="1:20" x14ac:dyDescent="0.2">
      <c r="A65" s="97">
        <v>57</v>
      </c>
      <c r="B65" s="94"/>
      <c r="C65" s="80" t="str">
        <f t="shared" si="3"/>
        <v>*</v>
      </c>
      <c r="D65" s="80" t="str">
        <f t="shared" si="3"/>
        <v xml:space="preserve"> </v>
      </c>
      <c r="E65" s="80" t="str">
        <f t="shared" si="3"/>
        <v xml:space="preserve"> </v>
      </c>
      <c r="F65" s="80" t="str">
        <f t="shared" si="3"/>
        <v xml:space="preserve"> </v>
      </c>
      <c r="G65" s="80" t="str">
        <f t="shared" si="3"/>
        <v xml:space="preserve"> </v>
      </c>
      <c r="H65" s="80" t="str">
        <f t="shared" si="3"/>
        <v xml:space="preserve"> </v>
      </c>
      <c r="I65" s="80" t="str">
        <f t="shared" si="3"/>
        <v xml:space="preserve"> </v>
      </c>
      <c r="J65" s="80" t="str">
        <f t="shared" si="3"/>
        <v xml:space="preserve"> </v>
      </c>
      <c r="K65" s="80" t="str">
        <f t="shared" si="3"/>
        <v xml:space="preserve"> </v>
      </c>
      <c r="L65" s="42" t="str">
        <f t="shared" si="2"/>
        <v xml:space="preserve">P001 - </v>
      </c>
      <c r="M65" s="62"/>
      <c r="N65" s="22" t="str">
        <f>IF(ISBLANK(A65),"",IFERROR((LOOKUP(M65,BOM!A:A,BOM!E:E))," "))</f>
        <v xml:space="preserve"> </v>
      </c>
      <c r="O65" s="21"/>
      <c r="P65" s="21"/>
      <c r="Q65" s="21" t="s">
        <v>0</v>
      </c>
      <c r="R65" s="21" t="s">
        <v>2</v>
      </c>
      <c r="S65" s="17"/>
      <c r="T65" s="31"/>
    </row>
    <row r="66" spans="1:20" x14ac:dyDescent="0.2">
      <c r="A66" s="97">
        <v>58</v>
      </c>
      <c r="B66" s="94"/>
      <c r="C66" s="80" t="str">
        <f t="shared" si="3"/>
        <v>*</v>
      </c>
      <c r="D66" s="80" t="str">
        <f t="shared" si="3"/>
        <v xml:space="preserve"> </v>
      </c>
      <c r="E66" s="80" t="str">
        <f t="shared" si="3"/>
        <v xml:space="preserve"> </v>
      </c>
      <c r="F66" s="80" t="str">
        <f t="shared" si="3"/>
        <v xml:space="preserve"> </v>
      </c>
      <c r="G66" s="80" t="str">
        <f t="shared" si="3"/>
        <v xml:space="preserve"> </v>
      </c>
      <c r="H66" s="80" t="str">
        <f t="shared" si="3"/>
        <v xml:space="preserve"> </v>
      </c>
      <c r="I66" s="80" t="str">
        <f t="shared" si="3"/>
        <v xml:space="preserve"> </v>
      </c>
      <c r="J66" s="80" t="str">
        <f t="shared" si="3"/>
        <v xml:space="preserve"> </v>
      </c>
      <c r="K66" s="80" t="str">
        <f t="shared" si="3"/>
        <v xml:space="preserve"> </v>
      </c>
      <c r="L66" s="42" t="str">
        <f t="shared" si="2"/>
        <v xml:space="preserve">P001 - </v>
      </c>
      <c r="M66" s="62"/>
      <c r="N66" s="22" t="str">
        <f>IF(ISBLANK(A66),"",IFERROR((LOOKUP(M66,BOM!A:A,BOM!E:E))," "))</f>
        <v xml:space="preserve"> </v>
      </c>
      <c r="O66" s="21"/>
      <c r="P66" s="21"/>
      <c r="Q66" s="21" t="s">
        <v>0</v>
      </c>
      <c r="R66" s="21" t="s">
        <v>2</v>
      </c>
      <c r="S66" s="17"/>
      <c r="T66" s="31"/>
    </row>
    <row r="67" spans="1:20" x14ac:dyDescent="0.2">
      <c r="A67" s="97">
        <v>59</v>
      </c>
      <c r="B67" s="94"/>
      <c r="C67" s="80" t="str">
        <f t="shared" si="3"/>
        <v>*</v>
      </c>
      <c r="D67" s="80" t="str">
        <f t="shared" si="3"/>
        <v xml:space="preserve"> </v>
      </c>
      <c r="E67" s="80" t="str">
        <f t="shared" si="3"/>
        <v xml:space="preserve"> </v>
      </c>
      <c r="F67" s="80" t="str">
        <f t="shared" si="3"/>
        <v xml:space="preserve"> </v>
      </c>
      <c r="G67" s="80" t="str">
        <f t="shared" si="3"/>
        <v xml:space="preserve"> </v>
      </c>
      <c r="H67" s="80" t="str">
        <f t="shared" si="3"/>
        <v xml:space="preserve"> </v>
      </c>
      <c r="I67" s="80" t="str">
        <f t="shared" si="3"/>
        <v xml:space="preserve"> </v>
      </c>
      <c r="J67" s="80" t="str">
        <f t="shared" si="3"/>
        <v xml:space="preserve"> </v>
      </c>
      <c r="K67" s="80" t="str">
        <f t="shared" si="3"/>
        <v xml:space="preserve"> </v>
      </c>
      <c r="L67" s="42" t="str">
        <f t="shared" si="2"/>
        <v xml:space="preserve">P001 - </v>
      </c>
      <c r="M67" s="62"/>
      <c r="N67" s="22" t="str">
        <f>IF(ISBLANK(A67),"",IFERROR((LOOKUP(M67,BOM!A:A,BOM!E:E))," "))</f>
        <v xml:space="preserve"> </v>
      </c>
      <c r="O67" s="21"/>
      <c r="P67" s="21"/>
      <c r="Q67" s="21" t="s">
        <v>0</v>
      </c>
      <c r="R67" s="21" t="s">
        <v>2</v>
      </c>
      <c r="S67" s="17"/>
      <c r="T67" s="31"/>
    </row>
    <row r="68" spans="1:20" ht="17" thickBot="1" x14ac:dyDescent="0.25">
      <c r="A68" s="97">
        <v>60</v>
      </c>
      <c r="B68" s="95"/>
      <c r="C68" s="80" t="str">
        <f t="shared" si="3"/>
        <v>*</v>
      </c>
      <c r="D68" s="80" t="str">
        <f t="shared" si="3"/>
        <v xml:space="preserve"> </v>
      </c>
      <c r="E68" s="80" t="str">
        <f t="shared" si="3"/>
        <v xml:space="preserve"> </v>
      </c>
      <c r="F68" s="80" t="str">
        <f t="shared" si="3"/>
        <v xml:space="preserve"> </v>
      </c>
      <c r="G68" s="80" t="str">
        <f t="shared" si="3"/>
        <v xml:space="preserve"> </v>
      </c>
      <c r="H68" s="80" t="str">
        <f t="shared" si="3"/>
        <v xml:space="preserve"> </v>
      </c>
      <c r="I68" s="80" t="str">
        <f t="shared" si="3"/>
        <v xml:space="preserve"> </v>
      </c>
      <c r="J68" s="80" t="str">
        <f t="shared" si="3"/>
        <v xml:space="preserve"> </v>
      </c>
      <c r="K68" s="80" t="str">
        <f t="shared" si="3"/>
        <v xml:space="preserve"> </v>
      </c>
      <c r="L68" s="81" t="str">
        <f t="shared" si="2"/>
        <v xml:space="preserve">P001 - </v>
      </c>
      <c r="M68" s="63"/>
      <c r="N68" s="82" t="str">
        <f>IF(ISBLANK(A68),"",IFERROR((LOOKUP(M68,BOM!A:A,BOM!E:E))," "))</f>
        <v xml:space="preserve"> </v>
      </c>
      <c r="O68" s="32"/>
      <c r="P68" s="32"/>
      <c r="Q68" s="32" t="s">
        <v>3</v>
      </c>
      <c r="R68" s="32" t="s">
        <v>2</v>
      </c>
      <c r="S68" s="33"/>
      <c r="T68" s="34"/>
    </row>
    <row r="69" spans="1:20" x14ac:dyDescent="0.2">
      <c r="N69" s="24"/>
    </row>
    <row r="70" spans="1:20" x14ac:dyDescent="0.2">
      <c r="N70" s="35"/>
    </row>
  </sheetData>
  <mergeCells count="11">
    <mergeCell ref="A1:F1"/>
    <mergeCell ref="G1:T1"/>
    <mergeCell ref="L3:N3"/>
    <mergeCell ref="L5:N5"/>
    <mergeCell ref="L6:N6"/>
    <mergeCell ref="I6:K6"/>
    <mergeCell ref="I5:K5"/>
    <mergeCell ref="I3:K3"/>
    <mergeCell ref="I2:K2"/>
    <mergeCell ref="I4:K4"/>
    <mergeCell ref="L4:N4"/>
  </mergeCells>
  <conditionalFormatting sqref="N9:N68">
    <cfRule type="containsText" dxfId="2" priority="1" stopIfTrue="1" operator="containsText" text="WIP">
      <formula>NOT(ISERROR(SEARCH("WIP",N9)))</formula>
    </cfRule>
  </conditionalFormatting>
  <pageMargins left="0.7" right="0.7" top="0.75" bottom="0.75" header="0.3" footer="0.3"/>
  <pageSetup scale="60" orientation="landscape"/>
  <headerFooter>
    <oddFooter>&amp;L&amp;D&amp;CThis BOM template is available compliments of Arena Solutions - www.arenasolutions.com&amp;Rpage&amp;P of &amp;N</oddFooter>
  </headerFooter>
  <colBreaks count="1" manualBreakCount="1">
    <brk id="20"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76"/>
  <sheetViews>
    <sheetView tabSelected="1" topLeftCell="B1" workbookViewId="0">
      <pane ySplit="1" topLeftCell="A2" activePane="bottomLeft" state="frozen"/>
      <selection pane="bottomLeft" activeCell="C7" sqref="C7"/>
    </sheetView>
  </sheetViews>
  <sheetFormatPr baseColWidth="10" defaultRowHeight="15" x14ac:dyDescent="0.2"/>
  <cols>
    <col min="1" max="1" width="0" hidden="1" customWidth="1"/>
    <col min="2" max="2" width="14.33203125" bestFit="1" customWidth="1"/>
    <col min="3" max="3" width="20.1640625" customWidth="1"/>
    <col min="4" max="4" width="14.6640625" bestFit="1" customWidth="1"/>
    <col min="5" max="5" width="19.5" bestFit="1" customWidth="1"/>
    <col min="6" max="6" width="19.1640625" bestFit="1" customWidth="1"/>
    <col min="7" max="7" width="13" bestFit="1" customWidth="1"/>
    <col min="8" max="8" width="9.83203125" bestFit="1" customWidth="1"/>
    <col min="9" max="9" width="13.33203125" bestFit="1" customWidth="1"/>
    <col min="10" max="10" width="16.5" bestFit="1" customWidth="1"/>
    <col min="11" max="11" width="29.5" bestFit="1" customWidth="1"/>
    <col min="12" max="12" width="5.6640625" style="60" bestFit="1" customWidth="1"/>
    <col min="13" max="13" width="18.6640625" bestFit="1" customWidth="1"/>
  </cols>
  <sheetData>
    <row r="1" spans="1:14" s="66" customFormat="1" ht="21" thickBot="1" x14ac:dyDescent="0.3">
      <c r="B1" s="66" t="s">
        <v>7</v>
      </c>
      <c r="C1" s="66" t="s">
        <v>68</v>
      </c>
      <c r="D1" s="66" t="s">
        <v>69</v>
      </c>
      <c r="E1" s="66" t="s">
        <v>70</v>
      </c>
      <c r="F1" s="66" t="s">
        <v>50</v>
      </c>
      <c r="G1" s="66" t="s">
        <v>9</v>
      </c>
      <c r="H1" s="66" t="s">
        <v>39</v>
      </c>
      <c r="I1" s="66" t="s">
        <v>40</v>
      </c>
      <c r="J1" s="66" t="s">
        <v>64</v>
      </c>
      <c r="K1" s="66" t="s">
        <v>63</v>
      </c>
      <c r="L1" s="66" t="s">
        <v>41</v>
      </c>
      <c r="M1" s="66" t="s">
        <v>42</v>
      </c>
      <c r="N1" s="66" t="s">
        <v>62</v>
      </c>
    </row>
    <row r="2" spans="1:14" s="67" customFormat="1" ht="19" thickTop="1" thickBot="1" x14ac:dyDescent="0.25">
      <c r="B2" s="68" t="s">
        <v>47</v>
      </c>
      <c r="C2" s="98" t="s">
        <v>48</v>
      </c>
      <c r="D2" s="98"/>
      <c r="E2" s="98"/>
      <c r="F2" s="98"/>
      <c r="G2" s="98"/>
      <c r="H2" s="98"/>
      <c r="I2" s="98"/>
      <c r="J2" s="98"/>
      <c r="K2" s="98"/>
      <c r="L2" s="98"/>
      <c r="M2" s="98"/>
      <c r="N2" s="98"/>
    </row>
    <row r="3" spans="1:14" ht="16" thickTop="1" x14ac:dyDescent="0.2">
      <c r="A3" s="61">
        <v>1</v>
      </c>
      <c r="B3" s="58" t="str">
        <f>CONCATENATE(Overview!$L$2,"-",TEXT(A3,"000"))</f>
        <v>P001-001</v>
      </c>
      <c r="C3" s="58"/>
      <c r="D3" s="58"/>
      <c r="E3" t="s">
        <v>38</v>
      </c>
    </row>
    <row r="4" spans="1:14" x14ac:dyDescent="0.2">
      <c r="A4" s="61">
        <v>2</v>
      </c>
      <c r="B4" s="58" t="str">
        <f>CONCATENATE(Overview!$L$2,"-",TEXT(A4,"000"))</f>
        <v>P001-002</v>
      </c>
      <c r="C4" s="58"/>
      <c r="D4" s="58"/>
    </row>
    <row r="5" spans="1:14" x14ac:dyDescent="0.2">
      <c r="A5" s="61">
        <v>3</v>
      </c>
      <c r="B5" s="58" t="str">
        <f>CONCATENATE(Overview!$L$2,"-",TEXT(A5,"000"))</f>
        <v>P001-003</v>
      </c>
      <c r="C5" s="58"/>
      <c r="D5" s="58"/>
      <c r="E5" t="s">
        <v>38</v>
      </c>
      <c r="F5" t="s">
        <v>66</v>
      </c>
    </row>
    <row r="6" spans="1:14" x14ac:dyDescent="0.2">
      <c r="A6" s="61">
        <v>4</v>
      </c>
      <c r="B6" s="58" t="str">
        <f>CONCATENATE(Overview!$L$2,"-",TEXT(A6,"000"))</f>
        <v>P001-004</v>
      </c>
      <c r="C6" s="58"/>
      <c r="D6" s="58"/>
      <c r="E6" t="s">
        <v>67</v>
      </c>
      <c r="F6" t="s">
        <v>65</v>
      </c>
    </row>
    <row r="7" spans="1:14" x14ac:dyDescent="0.2">
      <c r="A7" s="61">
        <v>5</v>
      </c>
      <c r="B7" s="58" t="str">
        <f>CONCATENATE(Overview!$L$2,"-",TEXT(A7,"000"))</f>
        <v>P001-005</v>
      </c>
      <c r="C7" s="58"/>
      <c r="D7" s="58"/>
      <c r="E7" t="s">
        <v>38</v>
      </c>
      <c r="F7" t="s">
        <v>71</v>
      </c>
    </row>
    <row r="8" spans="1:14" x14ac:dyDescent="0.2">
      <c r="A8" s="61">
        <v>6</v>
      </c>
      <c r="B8" s="58" t="str">
        <f>CONCATENATE(Overview!$L$2,"-",TEXT(A8,"000"))</f>
        <v>P001-006</v>
      </c>
      <c r="C8" s="58"/>
      <c r="D8" s="58"/>
    </row>
    <row r="9" spans="1:14" x14ac:dyDescent="0.2">
      <c r="A9" s="61">
        <v>7</v>
      </c>
      <c r="B9" s="58" t="str">
        <f>CONCATENATE(Overview!$L$2,"-",TEXT(A9,"000"))</f>
        <v>P001-007</v>
      </c>
      <c r="C9" s="58"/>
      <c r="D9" s="58"/>
    </row>
    <row r="10" spans="1:14" x14ac:dyDescent="0.2">
      <c r="A10" s="61">
        <v>8</v>
      </c>
      <c r="B10" s="58" t="str">
        <f>CONCATENATE(Overview!$L$2,"-",TEXT(A10,"000"))</f>
        <v>P001-008</v>
      </c>
      <c r="C10" s="58"/>
      <c r="D10" s="58"/>
    </row>
    <row r="11" spans="1:14" x14ac:dyDescent="0.2">
      <c r="A11" s="61">
        <v>9</v>
      </c>
      <c r="B11" s="58" t="str">
        <f>CONCATENATE(Overview!$L$2,"-",TEXT(A11,"000"))</f>
        <v>P001-009</v>
      </c>
      <c r="C11" s="58"/>
      <c r="D11" s="58"/>
    </row>
    <row r="12" spans="1:14" x14ac:dyDescent="0.2">
      <c r="A12" s="61">
        <v>10</v>
      </c>
      <c r="B12" s="58" t="str">
        <f>CONCATENATE(Overview!$L$2,"-",TEXT(A12,"000"))</f>
        <v>P001-010</v>
      </c>
      <c r="C12" s="58"/>
      <c r="D12" s="58"/>
    </row>
    <row r="13" spans="1:14" x14ac:dyDescent="0.2">
      <c r="A13" s="61">
        <v>11</v>
      </c>
      <c r="B13" s="58" t="str">
        <f>CONCATENATE(Overview!$L$2,"-",TEXT(A13,"000"))</f>
        <v>P001-011</v>
      </c>
      <c r="C13" s="58"/>
      <c r="D13" s="58"/>
    </row>
    <row r="14" spans="1:14" x14ac:dyDescent="0.2">
      <c r="A14" s="61">
        <v>12</v>
      </c>
      <c r="B14" s="58" t="str">
        <f>CONCATENATE(Overview!$L$2,"-",TEXT(A14,"000"))</f>
        <v>P001-012</v>
      </c>
      <c r="C14" s="58"/>
      <c r="D14" s="58"/>
    </row>
    <row r="15" spans="1:14" x14ac:dyDescent="0.2">
      <c r="A15" s="61">
        <v>13</v>
      </c>
      <c r="B15" s="58" t="str">
        <f>CONCATENATE(Overview!$L$2,"-",TEXT(A15,"000"))</f>
        <v>P001-013</v>
      </c>
      <c r="C15" s="58"/>
      <c r="D15" s="58"/>
    </row>
    <row r="16" spans="1:14" x14ac:dyDescent="0.2">
      <c r="A16" s="61">
        <v>14</v>
      </c>
      <c r="B16" s="58" t="str">
        <f>CONCATENATE(Overview!$L$2,"-",TEXT(A16,"000"))</f>
        <v>P001-014</v>
      </c>
      <c r="C16" s="58"/>
      <c r="D16" s="58"/>
    </row>
    <row r="17" spans="1:14" x14ac:dyDescent="0.2">
      <c r="A17" s="61">
        <v>15</v>
      </c>
      <c r="B17" s="58" t="str">
        <f>CONCATENATE(Overview!$L$2,"-",TEXT(A17,"000"))</f>
        <v>P001-015</v>
      </c>
      <c r="C17" s="58"/>
      <c r="D17" s="58"/>
    </row>
    <row r="18" spans="1:14" x14ac:dyDescent="0.2">
      <c r="A18" s="61">
        <v>16</v>
      </c>
      <c r="B18" s="58" t="str">
        <f>CONCATENATE(Overview!$L$2,"-",TEXT(A18,"000"))</f>
        <v>P001-016</v>
      </c>
      <c r="C18" s="58"/>
      <c r="D18" s="58"/>
    </row>
    <row r="19" spans="1:14" x14ac:dyDescent="0.2">
      <c r="A19" s="61">
        <v>17</v>
      </c>
      <c r="B19" s="58" t="str">
        <f>CONCATENATE(Overview!$L$2,"-",TEXT(A19,"000"))</f>
        <v>P001-017</v>
      </c>
      <c r="C19" s="58"/>
      <c r="D19" s="58"/>
    </row>
    <row r="20" spans="1:14" x14ac:dyDescent="0.2">
      <c r="A20" s="61">
        <v>18</v>
      </c>
      <c r="B20" s="58" t="str">
        <f>CONCATENATE(Overview!$L$2,"-",TEXT(A20,"000"))</f>
        <v>P001-018</v>
      </c>
      <c r="C20" s="58"/>
      <c r="D20" s="58"/>
    </row>
    <row r="21" spans="1:14" x14ac:dyDescent="0.2">
      <c r="A21" s="61">
        <v>19</v>
      </c>
      <c r="B21" s="58" t="str">
        <f>CONCATENATE(Overview!$L$2,"-",TEXT(A21,"000"))</f>
        <v>P001-019</v>
      </c>
      <c r="C21" s="58"/>
      <c r="D21" s="58"/>
    </row>
    <row r="22" spans="1:14" x14ac:dyDescent="0.2">
      <c r="A22" s="61">
        <v>20</v>
      </c>
      <c r="B22" s="58" t="str">
        <f>CONCATENATE(Overview!$L$2,"-",TEXT(A22,"000"))</f>
        <v>P001-020</v>
      </c>
      <c r="C22" s="58"/>
      <c r="D22" s="58"/>
    </row>
    <row r="23" spans="1:14" s="67" customFormat="1" ht="18" thickBot="1" x14ac:dyDescent="0.25">
      <c r="B23" s="68" t="s">
        <v>46</v>
      </c>
      <c r="C23" s="76" t="s">
        <v>49</v>
      </c>
      <c r="D23" s="76"/>
      <c r="E23" s="76"/>
      <c r="F23" s="76"/>
      <c r="G23" s="76"/>
      <c r="H23" s="76"/>
      <c r="I23" s="76"/>
      <c r="J23" s="76"/>
      <c r="K23" s="76"/>
      <c r="L23" s="76"/>
      <c r="M23" s="76"/>
      <c r="N23" s="76"/>
    </row>
    <row r="24" spans="1:14" ht="16" thickTop="1" x14ac:dyDescent="0.2">
      <c r="A24" s="59">
        <v>100</v>
      </c>
      <c r="B24" s="99" t="str">
        <f>Overview!$L$2&amp;"-"&amp;A24</f>
        <v>P001-100</v>
      </c>
      <c r="C24" s="65"/>
      <c r="D24" s="65"/>
    </row>
    <row r="25" spans="1:14" x14ac:dyDescent="0.2">
      <c r="A25" s="59">
        <v>101</v>
      </c>
      <c r="B25" s="58" t="str">
        <f>Overview!$L$2&amp;"-"&amp;A25</f>
        <v>P001-101</v>
      </c>
      <c r="C25" s="58"/>
      <c r="D25" s="58"/>
    </row>
    <row r="26" spans="1:14" x14ac:dyDescent="0.2">
      <c r="A26" s="59">
        <v>102</v>
      </c>
      <c r="B26" s="58" t="str">
        <f>Overview!$L$2&amp;"-"&amp;A26</f>
        <v>P001-102</v>
      </c>
      <c r="C26" s="58"/>
      <c r="D26" s="58"/>
    </row>
    <row r="27" spans="1:14" x14ac:dyDescent="0.2">
      <c r="A27" s="59">
        <v>103</v>
      </c>
      <c r="B27" s="58" t="str">
        <f>Overview!$L$2&amp;"-"&amp;A27</f>
        <v>P001-103</v>
      </c>
      <c r="C27" s="58"/>
      <c r="D27" s="58"/>
    </row>
    <row r="28" spans="1:14" x14ac:dyDescent="0.2">
      <c r="A28" s="59">
        <v>104</v>
      </c>
      <c r="B28" s="58" t="str">
        <f>Overview!$L$2&amp;"-"&amp;A28</f>
        <v>P001-104</v>
      </c>
      <c r="C28" s="58"/>
      <c r="D28" s="58"/>
    </row>
    <row r="29" spans="1:14" x14ac:dyDescent="0.2">
      <c r="A29" s="59">
        <v>105</v>
      </c>
      <c r="B29" s="58" t="str">
        <f>Overview!$L$2&amp;"-"&amp;A29</f>
        <v>P001-105</v>
      </c>
      <c r="C29" s="58"/>
      <c r="D29" s="58"/>
    </row>
    <row r="30" spans="1:14" x14ac:dyDescent="0.2">
      <c r="A30" s="59">
        <v>106</v>
      </c>
      <c r="B30" s="58" t="str">
        <f>Overview!$L$2&amp;"-"&amp;A30</f>
        <v>P001-106</v>
      </c>
      <c r="C30" s="58"/>
      <c r="D30" s="58"/>
    </row>
    <row r="31" spans="1:14" x14ac:dyDescent="0.2">
      <c r="A31" s="59">
        <v>107</v>
      </c>
      <c r="B31" s="58" t="str">
        <f>Overview!$L$2&amp;"-"&amp;A31</f>
        <v>P001-107</v>
      </c>
      <c r="C31" s="58"/>
      <c r="D31" s="58"/>
    </row>
    <row r="32" spans="1:14" x14ac:dyDescent="0.2">
      <c r="A32" s="59">
        <v>108</v>
      </c>
      <c r="B32" s="58" t="str">
        <f>Overview!$L$2&amp;"-"&amp;A32</f>
        <v>P001-108</v>
      </c>
      <c r="C32" s="58"/>
      <c r="D32" s="58"/>
    </row>
    <row r="33" spans="1:14" x14ac:dyDescent="0.2">
      <c r="A33" s="59">
        <v>109</v>
      </c>
      <c r="B33" s="58" t="str">
        <f>Overview!$L$2&amp;"-"&amp;A33</f>
        <v>P001-109</v>
      </c>
      <c r="C33" s="58"/>
      <c r="D33" s="58"/>
    </row>
    <row r="34" spans="1:14" x14ac:dyDescent="0.2">
      <c r="A34" s="59">
        <v>110</v>
      </c>
      <c r="B34" s="58" t="str">
        <f>Overview!$L$2&amp;"-"&amp;A34</f>
        <v>P001-110</v>
      </c>
      <c r="C34" s="58"/>
      <c r="D34" s="58"/>
    </row>
    <row r="35" spans="1:14" x14ac:dyDescent="0.2">
      <c r="A35" s="59">
        <v>111</v>
      </c>
      <c r="B35" s="58" t="str">
        <f>Overview!$L$2&amp;"-"&amp;A35</f>
        <v>P001-111</v>
      </c>
      <c r="C35" s="58"/>
      <c r="D35" s="58"/>
    </row>
    <row r="36" spans="1:14" x14ac:dyDescent="0.2">
      <c r="A36" s="59">
        <v>112</v>
      </c>
      <c r="B36" s="58" t="str">
        <f>Overview!$L$2&amp;"-"&amp;A36</f>
        <v>P001-112</v>
      </c>
      <c r="C36" s="58"/>
      <c r="D36" s="58"/>
    </row>
    <row r="37" spans="1:14" x14ac:dyDescent="0.2">
      <c r="A37" s="59">
        <v>113</v>
      </c>
      <c r="B37" s="58" t="str">
        <f>Overview!$L$2&amp;"-"&amp;A37</f>
        <v>P001-113</v>
      </c>
      <c r="C37" s="58"/>
      <c r="D37" s="58"/>
    </row>
    <row r="38" spans="1:14" x14ac:dyDescent="0.2">
      <c r="A38" s="59">
        <v>114</v>
      </c>
      <c r="B38" s="58" t="str">
        <f>Overview!$L$2&amp;"-"&amp;A38</f>
        <v>P001-114</v>
      </c>
      <c r="C38" s="58"/>
      <c r="D38" s="58"/>
    </row>
    <row r="39" spans="1:14" x14ac:dyDescent="0.2">
      <c r="A39" s="59">
        <v>115</v>
      </c>
      <c r="B39" s="58" t="str">
        <f>Overview!$L$2&amp;"-"&amp;A39</f>
        <v>P001-115</v>
      </c>
      <c r="C39" s="58"/>
      <c r="D39" s="58"/>
    </row>
    <row r="40" spans="1:14" x14ac:dyDescent="0.2">
      <c r="A40" s="59">
        <v>116</v>
      </c>
      <c r="B40" s="58" t="str">
        <f>Overview!$L$2&amp;"-"&amp;A40</f>
        <v>P001-116</v>
      </c>
      <c r="C40" s="58"/>
      <c r="D40" s="58"/>
    </row>
    <row r="41" spans="1:14" x14ac:dyDescent="0.2">
      <c r="A41" s="59">
        <v>117</v>
      </c>
      <c r="B41" s="58" t="str">
        <f>Overview!$L$2&amp;"-"&amp;A41</f>
        <v>P001-117</v>
      </c>
      <c r="C41" s="58"/>
      <c r="D41" s="58"/>
    </row>
    <row r="42" spans="1:14" x14ac:dyDescent="0.2">
      <c r="A42" s="59">
        <v>118</v>
      </c>
      <c r="B42" s="58" t="str">
        <f>Overview!$L$2&amp;"-"&amp;A42</f>
        <v>P001-118</v>
      </c>
      <c r="C42" s="58"/>
      <c r="D42" s="58"/>
    </row>
    <row r="43" spans="1:14" x14ac:dyDescent="0.2">
      <c r="A43" s="59">
        <v>119</v>
      </c>
      <c r="B43" s="58" t="str">
        <f>Overview!$L$2&amp;"-"&amp;A43</f>
        <v>P001-119</v>
      </c>
      <c r="C43" s="58"/>
      <c r="D43" s="58"/>
    </row>
    <row r="44" spans="1:14" x14ac:dyDescent="0.2">
      <c r="A44" s="59">
        <v>120</v>
      </c>
      <c r="B44" s="58" t="str">
        <f>Overview!$L$2&amp;"-"&amp;A44</f>
        <v>P001-120</v>
      </c>
      <c r="C44" s="58"/>
      <c r="D44" s="58"/>
    </row>
    <row r="45" spans="1:14" s="67" customFormat="1" ht="18" thickBot="1" x14ac:dyDescent="0.25">
      <c r="B45" s="68" t="s">
        <v>45</v>
      </c>
      <c r="C45" s="76" t="s">
        <v>55</v>
      </c>
      <c r="D45" s="76"/>
      <c r="E45" s="76"/>
      <c r="F45" s="76"/>
      <c r="G45" s="76"/>
      <c r="H45" s="76"/>
      <c r="I45" s="76"/>
      <c r="J45" s="76"/>
      <c r="K45" s="76"/>
      <c r="L45" s="76"/>
      <c r="M45" s="76"/>
      <c r="N45" s="76"/>
    </row>
    <row r="46" spans="1:14" ht="16" thickTop="1" x14ac:dyDescent="0.2">
      <c r="A46" s="59">
        <v>200</v>
      </c>
      <c r="B46" s="58" t="str">
        <f>Overview!$L$2&amp;"-"&amp;A46</f>
        <v>P001-200</v>
      </c>
      <c r="C46" s="58"/>
      <c r="D46" s="58"/>
    </row>
    <row r="47" spans="1:14" x14ac:dyDescent="0.2">
      <c r="A47" s="59">
        <v>201</v>
      </c>
      <c r="B47" s="58" t="str">
        <f>Overview!$L$2&amp;"-"&amp;A47</f>
        <v>P001-201</v>
      </c>
      <c r="C47" s="58"/>
      <c r="D47" s="58"/>
    </row>
    <row r="48" spans="1:14" x14ac:dyDescent="0.2">
      <c r="A48" s="59">
        <v>202</v>
      </c>
      <c r="B48" s="58" t="str">
        <f>Overview!$L$2&amp;"-"&amp;A48</f>
        <v>P001-202</v>
      </c>
      <c r="C48" s="58"/>
      <c r="D48" s="58"/>
    </row>
    <row r="49" spans="1:4" x14ac:dyDescent="0.2">
      <c r="A49" s="59">
        <v>203</v>
      </c>
      <c r="B49" s="58" t="str">
        <f>Overview!$L$2&amp;"-"&amp;A49</f>
        <v>P001-203</v>
      </c>
      <c r="C49" s="58"/>
      <c r="D49" s="58"/>
    </row>
    <row r="50" spans="1:4" x14ac:dyDescent="0.2">
      <c r="A50" s="59">
        <v>204</v>
      </c>
      <c r="B50" s="58" t="str">
        <f>Overview!$L$2&amp;"-"&amp;A50</f>
        <v>P001-204</v>
      </c>
      <c r="C50" s="58"/>
      <c r="D50" s="58"/>
    </row>
    <row r="51" spans="1:4" x14ac:dyDescent="0.2">
      <c r="A51" s="59">
        <v>205</v>
      </c>
      <c r="B51" s="58" t="str">
        <f>Overview!$L$2&amp;"-"&amp;A51</f>
        <v>P001-205</v>
      </c>
      <c r="C51" s="58"/>
      <c r="D51" s="58"/>
    </row>
    <row r="52" spans="1:4" x14ac:dyDescent="0.2">
      <c r="A52" s="59">
        <v>206</v>
      </c>
      <c r="B52" s="58" t="str">
        <f>Overview!$L$2&amp;"-"&amp;A52</f>
        <v>P001-206</v>
      </c>
      <c r="C52" s="58"/>
      <c r="D52" s="58"/>
    </row>
    <row r="53" spans="1:4" x14ac:dyDescent="0.2">
      <c r="A53" s="59">
        <v>207</v>
      </c>
      <c r="B53" s="58" t="str">
        <f>Overview!$L$2&amp;"-"&amp;A53</f>
        <v>P001-207</v>
      </c>
      <c r="C53" s="58"/>
      <c r="D53" s="58"/>
    </row>
    <row r="54" spans="1:4" x14ac:dyDescent="0.2">
      <c r="A54" s="59">
        <v>208</v>
      </c>
      <c r="B54" s="58" t="str">
        <f>Overview!$L$2&amp;"-"&amp;A54</f>
        <v>P001-208</v>
      </c>
      <c r="C54" s="58"/>
      <c r="D54" s="58"/>
    </row>
    <row r="55" spans="1:4" x14ac:dyDescent="0.2">
      <c r="A55" s="59">
        <v>209</v>
      </c>
      <c r="B55" s="58" t="str">
        <f>Overview!$L$2&amp;"-"&amp;A55</f>
        <v>P001-209</v>
      </c>
      <c r="C55" s="58"/>
      <c r="D55" s="58"/>
    </row>
    <row r="56" spans="1:4" x14ac:dyDescent="0.2">
      <c r="A56" s="59">
        <v>210</v>
      </c>
      <c r="B56" s="58" t="str">
        <f>Overview!$L$2&amp;"-"&amp;A56</f>
        <v>P001-210</v>
      </c>
      <c r="C56" s="58"/>
      <c r="D56" s="58"/>
    </row>
    <row r="57" spans="1:4" x14ac:dyDescent="0.2">
      <c r="A57" s="59">
        <v>211</v>
      </c>
      <c r="B57" s="58" t="str">
        <f>Overview!$L$2&amp;"-"&amp;A57</f>
        <v>P001-211</v>
      </c>
      <c r="C57" s="58"/>
      <c r="D57" s="58"/>
    </row>
    <row r="58" spans="1:4" x14ac:dyDescent="0.2">
      <c r="A58" s="59">
        <v>212</v>
      </c>
      <c r="B58" s="58" t="str">
        <f>Overview!$L$2&amp;"-"&amp;A58</f>
        <v>P001-212</v>
      </c>
      <c r="C58" s="58"/>
      <c r="D58" s="58"/>
    </row>
    <row r="59" spans="1:4" x14ac:dyDescent="0.2">
      <c r="A59" s="59">
        <v>213</v>
      </c>
      <c r="B59" s="58" t="str">
        <f>Overview!$L$2&amp;"-"&amp;A59</f>
        <v>P001-213</v>
      </c>
      <c r="C59" s="58"/>
      <c r="D59" s="58"/>
    </row>
    <row r="60" spans="1:4" x14ac:dyDescent="0.2">
      <c r="A60" s="59">
        <v>214</v>
      </c>
      <c r="B60" s="58" t="str">
        <f>Overview!$L$2&amp;"-"&amp;A60</f>
        <v>P001-214</v>
      </c>
      <c r="C60" s="58"/>
      <c r="D60" s="58"/>
    </row>
    <row r="61" spans="1:4" x14ac:dyDescent="0.2">
      <c r="A61" s="59">
        <v>215</v>
      </c>
      <c r="B61" s="58" t="str">
        <f>Overview!$L$2&amp;"-"&amp;A61</f>
        <v>P001-215</v>
      </c>
      <c r="C61" s="58"/>
      <c r="D61" s="58"/>
    </row>
    <row r="62" spans="1:4" x14ac:dyDescent="0.2">
      <c r="A62" s="59">
        <v>216</v>
      </c>
      <c r="B62" s="58" t="str">
        <f>Overview!$L$2&amp;"-"&amp;A62</f>
        <v>P001-216</v>
      </c>
      <c r="C62" s="58"/>
      <c r="D62" s="58"/>
    </row>
    <row r="63" spans="1:4" x14ac:dyDescent="0.2">
      <c r="A63" s="59">
        <v>217</v>
      </c>
      <c r="B63" s="58" t="str">
        <f>Overview!$L$2&amp;"-"&amp;A63</f>
        <v>P001-217</v>
      </c>
      <c r="C63" s="58"/>
      <c r="D63" s="58"/>
    </row>
    <row r="64" spans="1:4" x14ac:dyDescent="0.2">
      <c r="A64" s="59">
        <v>218</v>
      </c>
      <c r="B64" s="58" t="str">
        <f>Overview!$L$2&amp;"-"&amp;A64</f>
        <v>P001-218</v>
      </c>
      <c r="C64" s="58"/>
      <c r="D64" s="58"/>
    </row>
    <row r="65" spans="1:14" x14ac:dyDescent="0.2">
      <c r="A65" s="59">
        <v>219</v>
      </c>
      <c r="B65" s="58" t="str">
        <f>Overview!$L$2&amp;"-"&amp;A65</f>
        <v>P001-219</v>
      </c>
      <c r="C65" s="58"/>
      <c r="D65" s="58"/>
    </row>
    <row r="66" spans="1:14" x14ac:dyDescent="0.2">
      <c r="A66" s="59">
        <v>220</v>
      </c>
      <c r="B66" s="58" t="str">
        <f>Overview!$L$2&amp;"-"&amp;A66</f>
        <v>P001-220</v>
      </c>
      <c r="C66" s="58"/>
      <c r="D66" s="58"/>
    </row>
    <row r="67" spans="1:14" s="67" customFormat="1" ht="18" thickBot="1" x14ac:dyDescent="0.25">
      <c r="B67" s="69" t="s">
        <v>51</v>
      </c>
      <c r="C67" s="76" t="s">
        <v>52</v>
      </c>
      <c r="D67" s="76"/>
      <c r="E67" s="76"/>
      <c r="F67" s="76"/>
      <c r="G67" s="76"/>
      <c r="H67" s="76"/>
      <c r="I67" s="76"/>
      <c r="J67" s="76"/>
      <c r="K67" s="76"/>
      <c r="L67" s="76"/>
      <c r="M67" s="76"/>
      <c r="N67" s="76"/>
    </row>
    <row r="68" spans="1:14" ht="16" thickTop="1" x14ac:dyDescent="0.2">
      <c r="A68" s="59">
        <v>300</v>
      </c>
      <c r="B68" s="58" t="str">
        <f>Overview!$L$2&amp;"-"&amp;A68</f>
        <v>P001-300</v>
      </c>
      <c r="C68" s="58"/>
      <c r="D68" s="58"/>
    </row>
    <row r="69" spans="1:14" x14ac:dyDescent="0.2">
      <c r="A69" s="59">
        <v>301</v>
      </c>
      <c r="B69" s="58" t="str">
        <f>Overview!$L$2&amp;"-"&amp;A69</f>
        <v>P001-301</v>
      </c>
      <c r="C69" s="58"/>
      <c r="D69" s="58"/>
    </row>
    <row r="70" spans="1:14" x14ac:dyDescent="0.2">
      <c r="A70" s="59">
        <v>302</v>
      </c>
      <c r="B70" s="58" t="str">
        <f>Overview!$L$2&amp;"-"&amp;A70</f>
        <v>P001-302</v>
      </c>
      <c r="C70" s="58"/>
      <c r="D70" s="58"/>
    </row>
    <row r="71" spans="1:14" x14ac:dyDescent="0.2">
      <c r="A71" s="59">
        <v>303</v>
      </c>
      <c r="B71" s="58" t="str">
        <f>Overview!$L$2&amp;"-"&amp;A71</f>
        <v>P001-303</v>
      </c>
      <c r="C71" s="58"/>
      <c r="D71" s="58"/>
    </row>
    <row r="72" spans="1:14" x14ac:dyDescent="0.2">
      <c r="A72" s="59">
        <v>304</v>
      </c>
      <c r="B72" s="58" t="str">
        <f>Overview!$L$2&amp;"-"&amp;A72</f>
        <v>P001-304</v>
      </c>
      <c r="C72" s="58"/>
      <c r="D72" s="58"/>
    </row>
    <row r="73" spans="1:14" x14ac:dyDescent="0.2">
      <c r="A73" s="59">
        <v>305</v>
      </c>
      <c r="B73" s="58" t="str">
        <f>Overview!$L$2&amp;"-"&amp;A73</f>
        <v>P001-305</v>
      </c>
      <c r="C73" s="58"/>
      <c r="D73" s="58"/>
    </row>
    <row r="74" spans="1:14" x14ac:dyDescent="0.2">
      <c r="A74" s="59">
        <v>306</v>
      </c>
      <c r="B74" s="58" t="str">
        <f>Overview!$L$2&amp;"-"&amp;A74</f>
        <v>P001-306</v>
      </c>
      <c r="C74" s="58"/>
      <c r="D74" s="58"/>
    </row>
    <row r="75" spans="1:14" x14ac:dyDescent="0.2">
      <c r="A75" s="59">
        <v>307</v>
      </c>
      <c r="B75" s="58" t="str">
        <f>Overview!$L$2&amp;"-"&amp;A75</f>
        <v>P001-307</v>
      </c>
      <c r="C75" s="58"/>
      <c r="D75" s="58"/>
    </row>
    <row r="76" spans="1:14" x14ac:dyDescent="0.2">
      <c r="A76" s="59">
        <v>308</v>
      </c>
      <c r="B76" s="58" t="str">
        <f>Overview!$L$2&amp;"-"&amp;A76</f>
        <v>P001-308</v>
      </c>
      <c r="C76" s="58"/>
      <c r="D76" s="58"/>
    </row>
    <row r="77" spans="1:14" x14ac:dyDescent="0.2">
      <c r="A77" s="59">
        <v>309</v>
      </c>
      <c r="B77" s="58" t="str">
        <f>Overview!$L$2&amp;"-"&amp;A77</f>
        <v>P001-309</v>
      </c>
      <c r="C77" s="58"/>
      <c r="D77" s="58"/>
    </row>
    <row r="78" spans="1:14" x14ac:dyDescent="0.2">
      <c r="A78" s="59">
        <v>310</v>
      </c>
      <c r="B78" s="58" t="str">
        <f>Overview!$L$2&amp;"-"&amp;A78</f>
        <v>P001-310</v>
      </c>
      <c r="C78" s="58"/>
      <c r="D78" s="58"/>
    </row>
    <row r="79" spans="1:14" x14ac:dyDescent="0.2">
      <c r="A79" s="59">
        <v>311</v>
      </c>
      <c r="B79" s="58" t="str">
        <f>Overview!$L$2&amp;"-"&amp;A79</f>
        <v>P001-311</v>
      </c>
      <c r="C79" s="58"/>
      <c r="D79" s="58"/>
    </row>
    <row r="80" spans="1:14" x14ac:dyDescent="0.2">
      <c r="A80" s="59">
        <v>312</v>
      </c>
      <c r="B80" s="58" t="str">
        <f>Overview!$L$2&amp;"-"&amp;A80</f>
        <v>P001-312</v>
      </c>
      <c r="C80" s="58"/>
      <c r="D80" s="58"/>
    </row>
    <row r="81" spans="1:14" x14ac:dyDescent="0.2">
      <c r="A81" s="59">
        <v>313</v>
      </c>
      <c r="B81" s="58" t="str">
        <f>Overview!$L$2&amp;"-"&amp;A81</f>
        <v>P001-313</v>
      </c>
      <c r="C81" s="58"/>
      <c r="D81" s="58"/>
    </row>
    <row r="82" spans="1:14" x14ac:dyDescent="0.2">
      <c r="A82" s="59">
        <v>314</v>
      </c>
      <c r="B82" s="58" t="str">
        <f>Overview!$L$2&amp;"-"&amp;A82</f>
        <v>P001-314</v>
      </c>
      <c r="C82" s="58"/>
      <c r="D82" s="58"/>
    </row>
    <row r="83" spans="1:14" x14ac:dyDescent="0.2">
      <c r="A83" s="59">
        <v>315</v>
      </c>
      <c r="B83" s="58" t="str">
        <f>Overview!$L$2&amp;"-"&amp;A83</f>
        <v>P001-315</v>
      </c>
      <c r="C83" s="58"/>
      <c r="D83" s="58"/>
    </row>
    <row r="84" spans="1:14" x14ac:dyDescent="0.2">
      <c r="A84" s="59">
        <v>316</v>
      </c>
      <c r="B84" s="58" t="str">
        <f>Overview!$L$2&amp;"-"&amp;A84</f>
        <v>P001-316</v>
      </c>
      <c r="C84" s="58"/>
      <c r="D84" s="58"/>
    </row>
    <row r="85" spans="1:14" x14ac:dyDescent="0.2">
      <c r="A85" s="59">
        <v>317</v>
      </c>
      <c r="B85" s="58" t="str">
        <f>Overview!$L$2&amp;"-"&amp;A85</f>
        <v>P001-317</v>
      </c>
      <c r="C85" s="58"/>
      <c r="D85" s="58"/>
    </row>
    <row r="86" spans="1:14" x14ac:dyDescent="0.2">
      <c r="A86" s="59">
        <v>318</v>
      </c>
      <c r="B86" s="58" t="str">
        <f>Overview!$L$2&amp;"-"&amp;A86</f>
        <v>P001-318</v>
      </c>
      <c r="C86" s="58"/>
      <c r="D86" s="58"/>
    </row>
    <row r="87" spans="1:14" x14ac:dyDescent="0.2">
      <c r="A87" s="59">
        <v>319</v>
      </c>
      <c r="B87" s="58" t="str">
        <f>Overview!$L$2&amp;"-"&amp;A87</f>
        <v>P001-319</v>
      </c>
      <c r="C87" s="58"/>
      <c r="D87" s="58"/>
    </row>
    <row r="88" spans="1:14" x14ac:dyDescent="0.2">
      <c r="A88" s="59">
        <v>320</v>
      </c>
      <c r="B88" s="58" t="str">
        <f>Overview!$L$2&amp;"-"&amp;A88</f>
        <v>P001-320</v>
      </c>
      <c r="C88" s="58"/>
      <c r="D88" s="58"/>
    </row>
    <row r="89" spans="1:14" s="67" customFormat="1" ht="18" thickBot="1" x14ac:dyDescent="0.25">
      <c r="B89" s="69" t="s">
        <v>53</v>
      </c>
      <c r="C89" s="76" t="s">
        <v>56</v>
      </c>
      <c r="D89" s="76"/>
      <c r="E89" s="76"/>
      <c r="F89" s="76"/>
      <c r="G89" s="76"/>
      <c r="H89" s="76"/>
      <c r="I89" s="76"/>
      <c r="J89" s="76"/>
      <c r="K89" s="76"/>
      <c r="L89" s="76"/>
      <c r="M89" s="76"/>
      <c r="N89" s="76"/>
    </row>
    <row r="90" spans="1:14" ht="16" thickTop="1" x14ac:dyDescent="0.2">
      <c r="A90" s="59">
        <v>400</v>
      </c>
      <c r="B90" s="58" t="str">
        <f>Overview!$L$2&amp;"-"&amp;A90</f>
        <v>P001-400</v>
      </c>
      <c r="C90" s="58"/>
      <c r="D90" s="58"/>
    </row>
    <row r="91" spans="1:14" x14ac:dyDescent="0.2">
      <c r="A91" s="59">
        <v>401</v>
      </c>
      <c r="B91" s="58" t="str">
        <f>Overview!$L$2&amp;"-"&amp;A91</f>
        <v>P001-401</v>
      </c>
      <c r="C91" s="58"/>
      <c r="D91" s="58"/>
    </row>
    <row r="92" spans="1:14" x14ac:dyDescent="0.2">
      <c r="A92" s="59">
        <v>402</v>
      </c>
      <c r="B92" s="58" t="str">
        <f>Overview!$L$2&amp;"-"&amp;A92</f>
        <v>P001-402</v>
      </c>
      <c r="C92" s="58"/>
      <c r="D92" s="58"/>
    </row>
    <row r="93" spans="1:14" x14ac:dyDescent="0.2">
      <c r="A93" s="59">
        <v>403</v>
      </c>
      <c r="B93" s="58" t="str">
        <f>Overview!$L$2&amp;"-"&amp;A93</f>
        <v>P001-403</v>
      </c>
      <c r="C93" s="58"/>
      <c r="D93" s="58"/>
    </row>
    <row r="94" spans="1:14" x14ac:dyDescent="0.2">
      <c r="A94" s="59">
        <v>404</v>
      </c>
      <c r="B94" s="58" t="str">
        <f>Overview!$L$2&amp;"-"&amp;A94</f>
        <v>P001-404</v>
      </c>
      <c r="C94" s="58"/>
      <c r="D94" s="58"/>
    </row>
    <row r="95" spans="1:14" x14ac:dyDescent="0.2">
      <c r="A95" s="59">
        <v>405</v>
      </c>
      <c r="B95" s="58" t="str">
        <f>Overview!$L$2&amp;"-"&amp;A95</f>
        <v>P001-405</v>
      </c>
      <c r="C95" s="58"/>
      <c r="D95" s="58"/>
    </row>
    <row r="96" spans="1:14" x14ac:dyDescent="0.2">
      <c r="A96" s="59">
        <v>406</v>
      </c>
      <c r="B96" s="58" t="str">
        <f>Overview!$L$2&amp;"-"&amp;A96</f>
        <v>P001-406</v>
      </c>
      <c r="C96" s="58"/>
      <c r="D96" s="58"/>
    </row>
    <row r="97" spans="1:14" x14ac:dyDescent="0.2">
      <c r="A97" s="59">
        <v>407</v>
      </c>
      <c r="B97" s="58" t="str">
        <f>Overview!$L$2&amp;"-"&amp;A97</f>
        <v>P001-407</v>
      </c>
      <c r="C97" s="58"/>
      <c r="D97" s="58"/>
    </row>
    <row r="98" spans="1:14" x14ac:dyDescent="0.2">
      <c r="A98" s="59">
        <v>408</v>
      </c>
      <c r="B98" s="58" t="str">
        <f>Overview!$L$2&amp;"-"&amp;A98</f>
        <v>P001-408</v>
      </c>
      <c r="C98" s="58"/>
      <c r="D98" s="58"/>
    </row>
    <row r="99" spans="1:14" x14ac:dyDescent="0.2">
      <c r="A99" s="59">
        <v>409</v>
      </c>
      <c r="B99" s="58" t="str">
        <f>Overview!$L$2&amp;"-"&amp;A99</f>
        <v>P001-409</v>
      </c>
      <c r="C99" s="58"/>
      <c r="D99" s="58"/>
    </row>
    <row r="100" spans="1:14" x14ac:dyDescent="0.2">
      <c r="A100" s="59">
        <v>410</v>
      </c>
      <c r="B100" s="58" t="str">
        <f>Overview!$L$2&amp;"-"&amp;A100</f>
        <v>P001-410</v>
      </c>
      <c r="C100" s="58"/>
      <c r="D100" s="58"/>
    </row>
    <row r="101" spans="1:14" x14ac:dyDescent="0.2">
      <c r="A101" s="59">
        <v>411</v>
      </c>
      <c r="B101" s="58" t="str">
        <f>Overview!$L$2&amp;"-"&amp;A101</f>
        <v>P001-411</v>
      </c>
      <c r="C101" s="58"/>
      <c r="D101" s="58"/>
    </row>
    <row r="102" spans="1:14" x14ac:dyDescent="0.2">
      <c r="A102" s="59">
        <v>412</v>
      </c>
      <c r="B102" s="58" t="str">
        <f>Overview!$L$2&amp;"-"&amp;A102</f>
        <v>P001-412</v>
      </c>
      <c r="C102" s="58"/>
      <c r="D102" s="58"/>
    </row>
    <row r="103" spans="1:14" x14ac:dyDescent="0.2">
      <c r="A103" s="59">
        <v>413</v>
      </c>
      <c r="B103" s="58" t="str">
        <f>Overview!$L$2&amp;"-"&amp;A103</f>
        <v>P001-413</v>
      </c>
      <c r="C103" s="58"/>
      <c r="D103" s="58"/>
    </row>
    <row r="104" spans="1:14" x14ac:dyDescent="0.2">
      <c r="A104" s="59">
        <v>414</v>
      </c>
      <c r="B104" s="58" t="str">
        <f>Overview!$L$2&amp;"-"&amp;A104</f>
        <v>P001-414</v>
      </c>
      <c r="C104" s="58"/>
      <c r="D104" s="58"/>
    </row>
    <row r="105" spans="1:14" x14ac:dyDescent="0.2">
      <c r="A105" s="59">
        <v>415</v>
      </c>
      <c r="B105" s="58" t="str">
        <f>Overview!$L$2&amp;"-"&amp;A105</f>
        <v>P001-415</v>
      </c>
      <c r="C105" s="58"/>
      <c r="D105" s="58"/>
    </row>
    <row r="106" spans="1:14" x14ac:dyDescent="0.2">
      <c r="A106" s="59">
        <v>416</v>
      </c>
      <c r="B106" s="58" t="str">
        <f>Overview!$L$2&amp;"-"&amp;A106</f>
        <v>P001-416</v>
      </c>
      <c r="C106" s="58"/>
      <c r="D106" s="58"/>
    </row>
    <row r="107" spans="1:14" x14ac:dyDescent="0.2">
      <c r="A107" s="59">
        <v>417</v>
      </c>
      <c r="B107" s="58" t="str">
        <f>Overview!$L$2&amp;"-"&amp;A107</f>
        <v>P001-417</v>
      </c>
      <c r="C107" s="58"/>
      <c r="D107" s="58"/>
    </row>
    <row r="108" spans="1:14" x14ac:dyDescent="0.2">
      <c r="A108" s="59">
        <v>418</v>
      </c>
      <c r="B108" s="58" t="str">
        <f>Overview!$L$2&amp;"-"&amp;A108</f>
        <v>P001-418</v>
      </c>
      <c r="C108" s="58"/>
      <c r="D108" s="58"/>
    </row>
    <row r="109" spans="1:14" x14ac:dyDescent="0.2">
      <c r="A109" s="59">
        <v>419</v>
      </c>
      <c r="B109" s="58" t="str">
        <f>Overview!$L$2&amp;"-"&amp;A109</f>
        <v>P001-419</v>
      </c>
      <c r="C109" s="58"/>
      <c r="D109" s="58"/>
    </row>
    <row r="110" spans="1:14" x14ac:dyDescent="0.2">
      <c r="A110" s="59">
        <v>420</v>
      </c>
      <c r="B110" s="58" t="str">
        <f>Overview!$L$2&amp;"-"&amp;A110</f>
        <v>P001-420</v>
      </c>
      <c r="C110" s="58"/>
      <c r="D110" s="58"/>
    </row>
    <row r="111" spans="1:14" s="67" customFormat="1" ht="18" thickBot="1" x14ac:dyDescent="0.25">
      <c r="B111" s="67" t="s">
        <v>54</v>
      </c>
      <c r="C111" s="76" t="s">
        <v>57</v>
      </c>
      <c r="D111" s="76"/>
      <c r="E111" s="76"/>
      <c r="F111" s="76"/>
      <c r="G111" s="76"/>
      <c r="H111" s="76"/>
      <c r="I111" s="76"/>
      <c r="J111" s="76"/>
      <c r="K111" s="76"/>
      <c r="L111" s="76"/>
      <c r="M111" s="76"/>
      <c r="N111" s="76"/>
    </row>
    <row r="112" spans="1:14" ht="16" thickTop="1" x14ac:dyDescent="0.2">
      <c r="A112" s="70">
        <v>500</v>
      </c>
      <c r="B112" s="58" t="str">
        <f>Overview!$L$2&amp;"-"&amp;A112</f>
        <v>P001-500</v>
      </c>
      <c r="C112" s="58"/>
      <c r="D112" s="58"/>
      <c r="E112" s="71"/>
      <c r="F112" s="71"/>
      <c r="G112" s="71"/>
      <c r="H112" s="71"/>
      <c r="I112" s="71"/>
      <c r="J112" s="71"/>
      <c r="K112" s="71"/>
      <c r="L112" s="72"/>
      <c r="M112" s="71"/>
      <c r="N112" s="71"/>
    </row>
    <row r="113" spans="1:14" x14ac:dyDescent="0.2">
      <c r="A113" s="70">
        <v>501</v>
      </c>
      <c r="B113" s="58" t="str">
        <f>Overview!$L$2&amp;"-"&amp;A113</f>
        <v>P001-501</v>
      </c>
      <c r="C113" s="58"/>
      <c r="D113" s="58"/>
      <c r="E113" s="71"/>
      <c r="F113" s="71"/>
      <c r="G113" s="71"/>
      <c r="H113" s="71"/>
      <c r="I113" s="71"/>
      <c r="J113" s="71"/>
      <c r="K113" s="71"/>
      <c r="L113" s="72"/>
      <c r="M113" s="71"/>
      <c r="N113" s="71"/>
    </row>
    <row r="114" spans="1:14" x14ac:dyDescent="0.2">
      <c r="A114" s="70">
        <v>502</v>
      </c>
      <c r="B114" s="58" t="str">
        <f>Overview!$L$2&amp;"-"&amp;A114</f>
        <v>P001-502</v>
      </c>
      <c r="C114" s="58"/>
      <c r="D114" s="58"/>
      <c r="E114" s="71"/>
      <c r="F114" s="71"/>
      <c r="G114" s="71"/>
      <c r="H114" s="71"/>
      <c r="I114" s="71"/>
      <c r="J114" s="71"/>
      <c r="K114" s="71"/>
      <c r="L114" s="72"/>
      <c r="M114" s="71"/>
      <c r="N114" s="71"/>
    </row>
    <row r="115" spans="1:14" x14ac:dyDescent="0.2">
      <c r="A115" s="70">
        <v>503</v>
      </c>
      <c r="B115" s="58" t="str">
        <f>Overview!$L$2&amp;"-"&amp;A115</f>
        <v>P001-503</v>
      </c>
      <c r="C115" s="58"/>
      <c r="D115" s="58"/>
      <c r="E115" s="71"/>
      <c r="F115" s="71"/>
      <c r="G115" s="71"/>
      <c r="H115" s="71"/>
      <c r="I115" s="71"/>
      <c r="J115" s="71"/>
      <c r="K115" s="71"/>
      <c r="L115" s="72"/>
      <c r="M115" s="71"/>
      <c r="N115" s="71"/>
    </row>
    <row r="116" spans="1:14" x14ac:dyDescent="0.2">
      <c r="A116" s="70">
        <v>504</v>
      </c>
      <c r="B116" s="58" t="str">
        <f>Overview!$L$2&amp;"-"&amp;A116</f>
        <v>P001-504</v>
      </c>
      <c r="C116" s="58"/>
      <c r="D116" s="58"/>
      <c r="E116" s="71"/>
      <c r="F116" s="71"/>
      <c r="G116" s="71"/>
      <c r="H116" s="71"/>
      <c r="I116" s="71"/>
      <c r="J116" s="71"/>
      <c r="K116" s="71"/>
      <c r="L116" s="72"/>
      <c r="M116" s="71"/>
      <c r="N116" s="71"/>
    </row>
    <row r="117" spans="1:14" x14ac:dyDescent="0.2">
      <c r="A117" s="70">
        <v>505</v>
      </c>
      <c r="B117" s="58" t="str">
        <f>Overview!$L$2&amp;"-"&amp;A117</f>
        <v>P001-505</v>
      </c>
      <c r="C117" s="58"/>
      <c r="D117" s="58"/>
      <c r="E117" s="71"/>
      <c r="F117" s="71"/>
      <c r="G117" s="71"/>
      <c r="H117" s="71"/>
      <c r="I117" s="71"/>
      <c r="J117" s="71"/>
      <c r="K117" s="71"/>
      <c r="L117" s="72"/>
      <c r="M117" s="71"/>
      <c r="N117" s="71"/>
    </row>
    <row r="118" spans="1:14" x14ac:dyDescent="0.2">
      <c r="A118" s="70">
        <v>506</v>
      </c>
      <c r="B118" s="58" t="str">
        <f>Overview!$L$2&amp;"-"&amp;A118</f>
        <v>P001-506</v>
      </c>
      <c r="C118" s="58"/>
      <c r="D118" s="58"/>
      <c r="E118" s="71"/>
      <c r="F118" s="71"/>
      <c r="G118" s="71"/>
      <c r="H118" s="71"/>
      <c r="I118" s="71"/>
      <c r="J118" s="71"/>
      <c r="K118" s="71"/>
      <c r="L118" s="72"/>
      <c r="M118" s="71"/>
      <c r="N118" s="71"/>
    </row>
    <row r="119" spans="1:14" x14ac:dyDescent="0.2">
      <c r="A119" s="70">
        <v>507</v>
      </c>
      <c r="B119" s="58" t="str">
        <f>Overview!$L$2&amp;"-"&amp;A119</f>
        <v>P001-507</v>
      </c>
      <c r="C119" s="58"/>
      <c r="D119" s="58"/>
      <c r="E119" s="71"/>
      <c r="F119" s="71"/>
      <c r="G119" s="71"/>
      <c r="H119" s="71"/>
      <c r="I119" s="71"/>
      <c r="J119" s="71"/>
      <c r="K119" s="71"/>
      <c r="L119" s="72"/>
      <c r="M119" s="71"/>
      <c r="N119" s="71"/>
    </row>
    <row r="120" spans="1:14" x14ac:dyDescent="0.2">
      <c r="A120" s="70">
        <v>508</v>
      </c>
      <c r="B120" s="58" t="str">
        <f>Overview!$L$2&amp;"-"&amp;A120</f>
        <v>P001-508</v>
      </c>
      <c r="C120" s="58"/>
      <c r="D120" s="58"/>
      <c r="E120" s="71"/>
      <c r="F120" s="71"/>
      <c r="G120" s="71"/>
      <c r="H120" s="71"/>
      <c r="I120" s="71"/>
      <c r="J120" s="71"/>
      <c r="K120" s="71"/>
      <c r="L120" s="72"/>
      <c r="M120" s="71"/>
      <c r="N120" s="71"/>
    </row>
    <row r="121" spans="1:14" x14ac:dyDescent="0.2">
      <c r="A121" s="70">
        <v>509</v>
      </c>
      <c r="B121" s="58" t="str">
        <f>Overview!$L$2&amp;"-"&amp;A121</f>
        <v>P001-509</v>
      </c>
      <c r="C121" s="58"/>
      <c r="D121" s="58"/>
      <c r="E121" s="71"/>
      <c r="F121" s="71"/>
      <c r="G121" s="71"/>
      <c r="H121" s="71"/>
      <c r="I121" s="71"/>
      <c r="J121" s="71"/>
      <c r="K121" s="71"/>
      <c r="L121" s="72"/>
      <c r="M121" s="71"/>
      <c r="N121" s="71"/>
    </row>
    <row r="122" spans="1:14" x14ac:dyDescent="0.2">
      <c r="A122" s="70">
        <v>510</v>
      </c>
      <c r="B122" s="58" t="str">
        <f>Overview!$L$2&amp;"-"&amp;A122</f>
        <v>P001-510</v>
      </c>
      <c r="C122" s="58"/>
      <c r="D122" s="58"/>
      <c r="E122" s="71"/>
      <c r="F122" s="71"/>
      <c r="G122" s="71"/>
      <c r="H122" s="71"/>
      <c r="I122" s="71"/>
      <c r="J122" s="71"/>
      <c r="K122" s="71"/>
      <c r="L122" s="72"/>
      <c r="M122" s="71"/>
      <c r="N122" s="71"/>
    </row>
    <row r="123" spans="1:14" x14ac:dyDescent="0.2">
      <c r="A123" s="70">
        <v>511</v>
      </c>
      <c r="B123" s="58" t="str">
        <f>Overview!$L$2&amp;"-"&amp;A123</f>
        <v>P001-511</v>
      </c>
      <c r="C123" s="58"/>
      <c r="D123" s="58"/>
      <c r="E123" s="71"/>
      <c r="F123" s="71"/>
      <c r="G123" s="71"/>
      <c r="H123" s="71"/>
      <c r="I123" s="71"/>
      <c r="J123" s="71"/>
      <c r="K123" s="71"/>
      <c r="L123" s="72"/>
      <c r="M123" s="71"/>
      <c r="N123" s="71"/>
    </row>
    <row r="124" spans="1:14" x14ac:dyDescent="0.2">
      <c r="A124" s="70">
        <v>512</v>
      </c>
      <c r="B124" s="58" t="str">
        <f>Overview!$L$2&amp;"-"&amp;A124</f>
        <v>P001-512</v>
      </c>
      <c r="C124" s="58"/>
      <c r="D124" s="58"/>
      <c r="E124" s="71"/>
      <c r="F124" s="71"/>
      <c r="G124" s="71"/>
      <c r="H124" s="71"/>
      <c r="I124" s="71"/>
      <c r="J124" s="71"/>
      <c r="K124" s="71"/>
      <c r="L124" s="72"/>
      <c r="M124" s="71"/>
      <c r="N124" s="71"/>
    </row>
    <row r="125" spans="1:14" x14ac:dyDescent="0.2">
      <c r="A125" s="70">
        <v>513</v>
      </c>
      <c r="B125" s="58" t="str">
        <f>Overview!$L$2&amp;"-"&amp;A125</f>
        <v>P001-513</v>
      </c>
      <c r="C125" s="58"/>
      <c r="D125" s="58"/>
      <c r="E125" s="71"/>
      <c r="F125" s="71"/>
      <c r="G125" s="71"/>
      <c r="H125" s="71"/>
      <c r="I125" s="71"/>
      <c r="J125" s="71"/>
      <c r="K125" s="71"/>
      <c r="L125" s="72"/>
      <c r="M125" s="71"/>
      <c r="N125" s="71"/>
    </row>
    <row r="126" spans="1:14" x14ac:dyDescent="0.2">
      <c r="A126" s="70">
        <v>514</v>
      </c>
      <c r="B126" s="58" t="str">
        <f>Overview!$L$2&amp;"-"&amp;A126</f>
        <v>P001-514</v>
      </c>
      <c r="C126" s="58"/>
      <c r="D126" s="58"/>
      <c r="E126" s="71"/>
      <c r="F126" s="71"/>
      <c r="G126" s="71"/>
      <c r="H126" s="71"/>
      <c r="I126" s="71"/>
      <c r="J126" s="71"/>
      <c r="K126" s="71"/>
      <c r="L126" s="72"/>
      <c r="M126" s="71"/>
      <c r="N126" s="71"/>
    </row>
    <row r="127" spans="1:14" x14ac:dyDescent="0.2">
      <c r="A127" s="70">
        <v>515</v>
      </c>
      <c r="B127" s="58" t="str">
        <f>Overview!$L$2&amp;"-"&amp;A127</f>
        <v>P001-515</v>
      </c>
      <c r="C127" s="58"/>
      <c r="D127" s="58"/>
      <c r="E127" s="71"/>
      <c r="F127" s="71"/>
      <c r="G127" s="71"/>
      <c r="H127" s="71"/>
      <c r="I127" s="71"/>
      <c r="J127" s="71"/>
      <c r="K127" s="71"/>
      <c r="L127" s="72"/>
      <c r="M127" s="71"/>
      <c r="N127" s="71"/>
    </row>
    <row r="128" spans="1:14" x14ac:dyDescent="0.2">
      <c r="A128" s="70">
        <v>516</v>
      </c>
      <c r="B128" s="58" t="str">
        <f>Overview!$L$2&amp;"-"&amp;A128</f>
        <v>P001-516</v>
      </c>
      <c r="C128" s="58"/>
      <c r="D128" s="58"/>
      <c r="E128" s="71"/>
      <c r="F128" s="71"/>
      <c r="G128" s="71"/>
      <c r="H128" s="71"/>
      <c r="I128" s="71"/>
      <c r="J128" s="71"/>
      <c r="K128" s="71"/>
      <c r="L128" s="72"/>
      <c r="M128" s="71"/>
      <c r="N128" s="71"/>
    </row>
    <row r="129" spans="1:14" x14ac:dyDescent="0.2">
      <c r="A129" s="70">
        <v>517</v>
      </c>
      <c r="B129" s="58" t="str">
        <f>Overview!$L$2&amp;"-"&amp;A129</f>
        <v>P001-517</v>
      </c>
      <c r="C129" s="58"/>
      <c r="D129" s="58"/>
      <c r="E129" s="71"/>
      <c r="F129" s="71"/>
      <c r="G129" s="71"/>
      <c r="H129" s="71"/>
      <c r="I129" s="71"/>
      <c r="J129" s="71"/>
      <c r="K129" s="71"/>
      <c r="L129" s="72"/>
      <c r="M129" s="71"/>
      <c r="N129" s="71"/>
    </row>
    <row r="130" spans="1:14" x14ac:dyDescent="0.2">
      <c r="A130" s="70">
        <v>518</v>
      </c>
      <c r="B130" s="58" t="str">
        <f>Overview!$L$2&amp;"-"&amp;A130</f>
        <v>P001-518</v>
      </c>
      <c r="C130" s="58"/>
      <c r="D130" s="58"/>
      <c r="E130" s="71"/>
      <c r="F130" s="71"/>
      <c r="G130" s="71"/>
      <c r="H130" s="71"/>
      <c r="I130" s="71"/>
      <c r="J130" s="71"/>
      <c r="K130" s="71"/>
      <c r="L130" s="72"/>
      <c r="M130" s="71"/>
      <c r="N130" s="71"/>
    </row>
    <row r="131" spans="1:14" x14ac:dyDescent="0.2">
      <c r="A131" s="70">
        <v>519</v>
      </c>
      <c r="B131" s="58" t="str">
        <f>Overview!$L$2&amp;"-"&amp;A131</f>
        <v>P001-519</v>
      </c>
      <c r="C131" s="58"/>
      <c r="D131" s="58"/>
      <c r="E131" s="71"/>
      <c r="F131" s="71"/>
      <c r="G131" s="71"/>
      <c r="H131" s="71"/>
      <c r="I131" s="71"/>
      <c r="J131" s="71"/>
      <c r="K131" s="71"/>
      <c r="L131" s="72"/>
      <c r="M131" s="71"/>
      <c r="N131" s="71"/>
    </row>
    <row r="132" spans="1:14" x14ac:dyDescent="0.2">
      <c r="A132" s="70">
        <v>520</v>
      </c>
      <c r="B132" s="58" t="str">
        <f>Overview!$L$2&amp;"-"&amp;A132</f>
        <v>P001-520</v>
      </c>
      <c r="C132" s="58"/>
      <c r="D132" s="58"/>
      <c r="E132" s="71"/>
      <c r="F132" s="71"/>
      <c r="G132" s="71"/>
      <c r="H132" s="71"/>
      <c r="I132" s="71"/>
      <c r="J132" s="71"/>
      <c r="K132" s="71"/>
      <c r="L132" s="72"/>
      <c r="M132" s="71"/>
      <c r="N132" s="71"/>
    </row>
    <row r="133" spans="1:14" s="67" customFormat="1" ht="18" thickBot="1" x14ac:dyDescent="0.25">
      <c r="B133" s="67" t="s">
        <v>58</v>
      </c>
      <c r="C133" s="76" t="s">
        <v>59</v>
      </c>
      <c r="D133" s="76"/>
      <c r="E133" s="76"/>
      <c r="F133" s="76"/>
      <c r="G133" s="76"/>
      <c r="H133" s="76"/>
      <c r="I133" s="76"/>
      <c r="J133" s="76"/>
      <c r="K133" s="76"/>
      <c r="L133" s="76"/>
      <c r="M133" s="76"/>
      <c r="N133" s="76"/>
    </row>
    <row r="134" spans="1:14" ht="16" thickTop="1" x14ac:dyDescent="0.2">
      <c r="A134" s="70">
        <v>600</v>
      </c>
      <c r="B134" s="58" t="str">
        <f>Overview!$L$2&amp;"-"&amp;A134</f>
        <v>P001-600</v>
      </c>
      <c r="C134" s="58"/>
      <c r="D134" s="58"/>
      <c r="E134" s="71"/>
      <c r="F134" s="71"/>
      <c r="G134" s="71"/>
      <c r="H134" s="71"/>
      <c r="I134" s="71"/>
      <c r="J134" s="71"/>
      <c r="K134" s="71"/>
      <c r="L134" s="72"/>
      <c r="M134" s="71"/>
      <c r="N134" s="71"/>
    </row>
    <row r="135" spans="1:14" x14ac:dyDescent="0.2">
      <c r="A135" s="70">
        <v>601</v>
      </c>
      <c r="B135" s="58" t="str">
        <f>Overview!$L$2&amp;"-"&amp;A135</f>
        <v>P001-601</v>
      </c>
      <c r="C135" s="58"/>
      <c r="D135" s="58"/>
      <c r="E135" s="71"/>
      <c r="F135" s="71"/>
      <c r="G135" s="71"/>
      <c r="H135" s="71"/>
      <c r="I135" s="71"/>
      <c r="J135" s="71"/>
      <c r="K135" s="71"/>
      <c r="L135" s="72"/>
      <c r="M135" s="71"/>
      <c r="N135" s="71"/>
    </row>
    <row r="136" spans="1:14" x14ac:dyDescent="0.2">
      <c r="A136" s="70">
        <v>602</v>
      </c>
      <c r="B136" s="58" t="str">
        <f>Overview!$L$2&amp;"-"&amp;A136</f>
        <v>P001-602</v>
      </c>
      <c r="C136" s="58"/>
      <c r="D136" s="58"/>
      <c r="E136" s="71"/>
      <c r="F136" s="71"/>
      <c r="G136" s="71"/>
      <c r="H136" s="71"/>
      <c r="I136" s="71"/>
      <c r="J136" s="71"/>
      <c r="K136" s="71"/>
      <c r="L136" s="72"/>
      <c r="M136" s="71"/>
      <c r="N136" s="71"/>
    </row>
    <row r="137" spans="1:14" x14ac:dyDescent="0.2">
      <c r="A137" s="70">
        <v>603</v>
      </c>
      <c r="B137" s="58" t="str">
        <f>Overview!$L$2&amp;"-"&amp;A137</f>
        <v>P001-603</v>
      </c>
      <c r="C137" s="58"/>
      <c r="D137" s="58"/>
      <c r="E137" s="71"/>
      <c r="F137" s="71"/>
      <c r="G137" s="71"/>
      <c r="H137" s="71"/>
      <c r="I137" s="71"/>
      <c r="J137" s="71"/>
      <c r="K137" s="71"/>
      <c r="L137" s="72"/>
      <c r="M137" s="71"/>
      <c r="N137" s="71"/>
    </row>
    <row r="138" spans="1:14" x14ac:dyDescent="0.2">
      <c r="A138" s="70">
        <v>604</v>
      </c>
      <c r="B138" s="58" t="str">
        <f>Overview!$L$2&amp;"-"&amp;A138</f>
        <v>P001-604</v>
      </c>
      <c r="C138" s="58"/>
      <c r="D138" s="58"/>
      <c r="E138" s="71"/>
      <c r="F138" s="71"/>
      <c r="G138" s="71"/>
      <c r="H138" s="71"/>
      <c r="I138" s="71"/>
      <c r="J138" s="71"/>
      <c r="K138" s="71"/>
      <c r="L138" s="72"/>
      <c r="M138" s="71"/>
      <c r="N138" s="71"/>
    </row>
    <row r="139" spans="1:14" x14ac:dyDescent="0.2">
      <c r="A139" s="70">
        <v>605</v>
      </c>
      <c r="B139" s="58" t="str">
        <f>Overview!$L$2&amp;"-"&amp;A139</f>
        <v>P001-605</v>
      </c>
      <c r="C139" s="58"/>
      <c r="D139" s="58"/>
      <c r="E139" s="71"/>
      <c r="F139" s="71"/>
      <c r="G139" s="71"/>
      <c r="H139" s="71"/>
      <c r="I139" s="71"/>
      <c r="J139" s="71"/>
      <c r="K139" s="71"/>
      <c r="L139" s="72"/>
      <c r="M139" s="71"/>
      <c r="N139" s="71"/>
    </row>
    <row r="140" spans="1:14" x14ac:dyDescent="0.2">
      <c r="A140" s="70">
        <v>606</v>
      </c>
      <c r="B140" s="58" t="str">
        <f>Overview!$L$2&amp;"-"&amp;A140</f>
        <v>P001-606</v>
      </c>
      <c r="C140" s="58"/>
      <c r="D140" s="58"/>
      <c r="E140" s="71"/>
      <c r="F140" s="71"/>
      <c r="G140" s="71"/>
      <c r="H140" s="71"/>
      <c r="I140" s="71"/>
      <c r="J140" s="71"/>
      <c r="K140" s="71"/>
      <c r="L140" s="72"/>
      <c r="M140" s="71"/>
      <c r="N140" s="71"/>
    </row>
    <row r="141" spans="1:14" x14ac:dyDescent="0.2">
      <c r="A141" s="70">
        <v>607</v>
      </c>
      <c r="B141" s="58" t="str">
        <f>Overview!$L$2&amp;"-"&amp;A141</f>
        <v>P001-607</v>
      </c>
      <c r="C141" s="58"/>
      <c r="D141" s="58"/>
      <c r="E141" s="71"/>
      <c r="F141" s="71"/>
      <c r="G141" s="71"/>
      <c r="H141" s="71"/>
      <c r="I141" s="71"/>
      <c r="J141" s="71"/>
      <c r="K141" s="71"/>
      <c r="L141" s="72"/>
      <c r="M141" s="71"/>
      <c r="N141" s="71"/>
    </row>
    <row r="142" spans="1:14" x14ac:dyDescent="0.2">
      <c r="A142" s="70">
        <v>608</v>
      </c>
      <c r="B142" s="58" t="str">
        <f>Overview!$L$2&amp;"-"&amp;A142</f>
        <v>P001-608</v>
      </c>
      <c r="C142" s="58"/>
      <c r="D142" s="58"/>
      <c r="E142" s="71"/>
      <c r="F142" s="71"/>
      <c r="G142" s="71"/>
      <c r="H142" s="71"/>
      <c r="I142" s="71"/>
      <c r="J142" s="71"/>
      <c r="K142" s="71"/>
      <c r="L142" s="72"/>
      <c r="M142" s="71"/>
      <c r="N142" s="71"/>
    </row>
    <row r="143" spans="1:14" x14ac:dyDescent="0.2">
      <c r="A143" s="70">
        <v>609</v>
      </c>
      <c r="B143" s="58" t="str">
        <f>Overview!$L$2&amp;"-"&amp;A143</f>
        <v>P001-609</v>
      </c>
      <c r="C143" s="58"/>
      <c r="D143" s="58"/>
      <c r="E143" s="71"/>
      <c r="F143" s="71"/>
      <c r="G143" s="71"/>
      <c r="H143" s="71"/>
      <c r="I143" s="71"/>
      <c r="J143" s="71"/>
      <c r="K143" s="71"/>
      <c r="L143" s="72"/>
      <c r="M143" s="71"/>
      <c r="N143" s="71"/>
    </row>
    <row r="144" spans="1:14" x14ac:dyDescent="0.2">
      <c r="A144" s="70">
        <v>610</v>
      </c>
      <c r="B144" s="58" t="str">
        <f>Overview!$L$2&amp;"-"&amp;A144</f>
        <v>P001-610</v>
      </c>
      <c r="C144" s="58"/>
      <c r="D144" s="58"/>
      <c r="E144" s="71"/>
      <c r="F144" s="71"/>
      <c r="G144" s="71"/>
      <c r="H144" s="71"/>
      <c r="I144" s="71"/>
      <c r="J144" s="71"/>
      <c r="K144" s="71"/>
      <c r="L144" s="72"/>
      <c r="M144" s="71"/>
      <c r="N144" s="71"/>
    </row>
    <row r="145" spans="1:14" x14ac:dyDescent="0.2">
      <c r="A145" s="70">
        <v>611</v>
      </c>
      <c r="B145" s="58" t="str">
        <f>Overview!$L$2&amp;"-"&amp;A145</f>
        <v>P001-611</v>
      </c>
      <c r="C145" s="58"/>
      <c r="D145" s="58"/>
      <c r="E145" s="71"/>
      <c r="F145" s="71"/>
      <c r="G145" s="71"/>
      <c r="H145" s="71"/>
      <c r="I145" s="71"/>
      <c r="J145" s="71"/>
      <c r="K145" s="71"/>
      <c r="L145" s="72"/>
      <c r="M145" s="71"/>
      <c r="N145" s="71"/>
    </row>
    <row r="146" spans="1:14" x14ac:dyDescent="0.2">
      <c r="A146" s="70">
        <v>612</v>
      </c>
      <c r="B146" s="58" t="str">
        <f>Overview!$L$2&amp;"-"&amp;A146</f>
        <v>P001-612</v>
      </c>
      <c r="C146" s="58"/>
      <c r="D146" s="58"/>
      <c r="E146" s="71"/>
      <c r="F146" s="71"/>
      <c r="G146" s="71"/>
      <c r="H146" s="71"/>
      <c r="I146" s="71"/>
      <c r="J146" s="71"/>
      <c r="K146" s="71"/>
      <c r="L146" s="72"/>
      <c r="M146" s="71"/>
      <c r="N146" s="71"/>
    </row>
    <row r="147" spans="1:14" x14ac:dyDescent="0.2">
      <c r="A147" s="70">
        <v>613</v>
      </c>
      <c r="B147" s="58" t="str">
        <f>Overview!$L$2&amp;"-"&amp;A147</f>
        <v>P001-613</v>
      </c>
      <c r="C147" s="58"/>
      <c r="D147" s="58"/>
      <c r="E147" s="71"/>
      <c r="F147" s="71"/>
      <c r="G147" s="71"/>
      <c r="H147" s="71"/>
      <c r="I147" s="71"/>
      <c r="J147" s="71"/>
      <c r="K147" s="71"/>
      <c r="L147" s="72"/>
      <c r="M147" s="71"/>
      <c r="N147" s="71"/>
    </row>
    <row r="148" spans="1:14" x14ac:dyDescent="0.2">
      <c r="A148" s="70">
        <v>614</v>
      </c>
      <c r="B148" s="58" t="str">
        <f>Overview!$L$2&amp;"-"&amp;A148</f>
        <v>P001-614</v>
      </c>
      <c r="C148" s="58"/>
      <c r="D148" s="58"/>
      <c r="E148" s="71"/>
      <c r="F148" s="71"/>
      <c r="G148" s="71"/>
      <c r="H148" s="71"/>
      <c r="I148" s="71"/>
      <c r="J148" s="71"/>
      <c r="K148" s="71"/>
      <c r="L148" s="72"/>
      <c r="M148" s="71"/>
      <c r="N148" s="71"/>
    </row>
    <row r="149" spans="1:14" x14ac:dyDescent="0.2">
      <c r="A149" s="70">
        <v>615</v>
      </c>
      <c r="B149" s="58" t="str">
        <f>Overview!$L$2&amp;"-"&amp;A149</f>
        <v>P001-615</v>
      </c>
      <c r="C149" s="58"/>
      <c r="D149" s="58"/>
      <c r="E149" s="71"/>
      <c r="F149" s="71"/>
      <c r="G149" s="71"/>
      <c r="H149" s="71"/>
      <c r="I149" s="71"/>
      <c r="J149" s="71"/>
      <c r="K149" s="71"/>
      <c r="L149" s="72"/>
      <c r="M149" s="71"/>
      <c r="N149" s="71"/>
    </row>
    <row r="150" spans="1:14" x14ac:dyDescent="0.2">
      <c r="A150" s="70">
        <v>616</v>
      </c>
      <c r="B150" s="58" t="str">
        <f>Overview!$L$2&amp;"-"&amp;A150</f>
        <v>P001-616</v>
      </c>
      <c r="C150" s="58"/>
      <c r="D150" s="58"/>
      <c r="E150" s="71"/>
      <c r="F150" s="71"/>
      <c r="G150" s="71"/>
      <c r="H150" s="71"/>
      <c r="I150" s="71"/>
      <c r="J150" s="71"/>
      <c r="K150" s="71"/>
      <c r="L150" s="72"/>
      <c r="M150" s="71"/>
      <c r="N150" s="71"/>
    </row>
    <row r="151" spans="1:14" x14ac:dyDescent="0.2">
      <c r="A151" s="70">
        <v>617</v>
      </c>
      <c r="B151" s="58" t="str">
        <f>Overview!$L$2&amp;"-"&amp;A151</f>
        <v>P001-617</v>
      </c>
      <c r="C151" s="58"/>
      <c r="D151" s="58"/>
      <c r="E151" s="71"/>
      <c r="F151" s="71"/>
      <c r="G151" s="71"/>
      <c r="H151" s="71"/>
      <c r="I151" s="71"/>
      <c r="J151" s="71"/>
      <c r="K151" s="71"/>
      <c r="L151" s="72"/>
      <c r="M151" s="71"/>
      <c r="N151" s="71"/>
    </row>
    <row r="152" spans="1:14" x14ac:dyDescent="0.2">
      <c r="A152" s="70">
        <v>618</v>
      </c>
      <c r="B152" s="58" t="str">
        <f>Overview!$L$2&amp;"-"&amp;A152</f>
        <v>P001-618</v>
      </c>
      <c r="C152" s="58"/>
      <c r="D152" s="58"/>
      <c r="E152" s="71"/>
      <c r="F152" s="71"/>
      <c r="G152" s="71"/>
      <c r="H152" s="71"/>
      <c r="I152" s="71"/>
      <c r="J152" s="71"/>
      <c r="K152" s="71"/>
      <c r="L152" s="72"/>
      <c r="M152" s="71"/>
      <c r="N152" s="71"/>
    </row>
    <row r="153" spans="1:14" x14ac:dyDescent="0.2">
      <c r="A153" s="70">
        <v>619</v>
      </c>
      <c r="B153" s="58" t="str">
        <f>Overview!$L$2&amp;"-"&amp;A153</f>
        <v>P001-619</v>
      </c>
      <c r="C153" s="58"/>
      <c r="D153" s="58"/>
      <c r="E153" s="71"/>
      <c r="F153" s="71"/>
      <c r="G153" s="71"/>
      <c r="H153" s="71"/>
      <c r="I153" s="71"/>
      <c r="J153" s="71"/>
      <c r="K153" s="71"/>
      <c r="L153" s="72"/>
      <c r="M153" s="71"/>
      <c r="N153" s="71"/>
    </row>
    <row r="154" spans="1:14" x14ac:dyDescent="0.2">
      <c r="A154" s="70">
        <v>620</v>
      </c>
      <c r="B154" s="58" t="str">
        <f>Overview!$L$2&amp;"-"&amp;A154</f>
        <v>P001-620</v>
      </c>
      <c r="C154" s="58"/>
      <c r="D154" s="58"/>
      <c r="E154" s="71"/>
      <c r="F154" s="71"/>
      <c r="G154" s="71"/>
      <c r="H154" s="71"/>
      <c r="I154" s="71"/>
      <c r="J154" s="71"/>
      <c r="K154" s="71"/>
      <c r="L154" s="72"/>
      <c r="M154" s="71"/>
      <c r="N154" s="71"/>
    </row>
    <row r="155" spans="1:14" s="67" customFormat="1" ht="18" thickBot="1" x14ac:dyDescent="0.25">
      <c r="B155" s="67" t="s">
        <v>61</v>
      </c>
      <c r="C155" s="76" t="s">
        <v>60</v>
      </c>
      <c r="D155" s="76"/>
      <c r="E155" s="76"/>
      <c r="F155" s="76"/>
      <c r="G155" s="76"/>
      <c r="H155" s="76"/>
      <c r="I155" s="76"/>
      <c r="J155" s="76"/>
      <c r="K155" s="76"/>
      <c r="L155" s="76"/>
      <c r="M155" s="76"/>
      <c r="N155" s="76"/>
    </row>
    <row r="156" spans="1:14" ht="16" thickTop="1" x14ac:dyDescent="0.2">
      <c r="A156" s="70">
        <v>700</v>
      </c>
      <c r="B156" s="58" t="str">
        <f>Overview!$L$2&amp;"-"&amp;A156</f>
        <v>P001-700</v>
      </c>
      <c r="C156" s="58"/>
      <c r="D156" s="58"/>
      <c r="E156" s="71"/>
      <c r="F156" s="71"/>
      <c r="G156" s="71"/>
      <c r="H156" s="71"/>
      <c r="I156" s="71"/>
      <c r="J156" s="71"/>
      <c r="K156" s="71"/>
      <c r="L156" s="72"/>
      <c r="M156" s="71"/>
      <c r="N156" s="71"/>
    </row>
    <row r="157" spans="1:14" x14ac:dyDescent="0.2">
      <c r="A157" s="70">
        <v>701</v>
      </c>
      <c r="B157" s="58" t="str">
        <f>Overview!$L$2&amp;"-"&amp;A157</f>
        <v>P001-701</v>
      </c>
      <c r="C157" s="58"/>
      <c r="D157" s="58"/>
      <c r="E157" s="71"/>
      <c r="F157" s="71"/>
      <c r="G157" s="71"/>
      <c r="H157" s="71"/>
      <c r="I157" s="71"/>
      <c r="J157" s="71"/>
      <c r="K157" s="71"/>
      <c r="L157" s="72"/>
      <c r="M157" s="71"/>
      <c r="N157" s="71"/>
    </row>
    <row r="158" spans="1:14" x14ac:dyDescent="0.2">
      <c r="A158" s="70">
        <v>702</v>
      </c>
      <c r="B158" s="58" t="str">
        <f>Overview!$L$2&amp;"-"&amp;A158</f>
        <v>P001-702</v>
      </c>
      <c r="C158" s="58"/>
      <c r="D158" s="58"/>
      <c r="E158" s="71"/>
      <c r="F158" s="71"/>
      <c r="G158" s="71"/>
      <c r="H158" s="71"/>
      <c r="I158" s="71"/>
      <c r="J158" s="71"/>
      <c r="K158" s="71"/>
      <c r="L158" s="72"/>
      <c r="M158" s="71"/>
      <c r="N158" s="71"/>
    </row>
    <row r="159" spans="1:14" x14ac:dyDescent="0.2">
      <c r="A159" s="70">
        <v>703</v>
      </c>
      <c r="B159" s="58" t="str">
        <f>Overview!$L$2&amp;"-"&amp;A159</f>
        <v>P001-703</v>
      </c>
      <c r="C159" s="58"/>
      <c r="D159" s="58"/>
      <c r="E159" s="71"/>
      <c r="F159" s="71"/>
      <c r="G159" s="71"/>
      <c r="H159" s="71"/>
      <c r="I159" s="71"/>
      <c r="J159" s="71"/>
      <c r="K159" s="71"/>
      <c r="L159" s="72"/>
      <c r="M159" s="71"/>
      <c r="N159" s="71"/>
    </row>
    <row r="160" spans="1:14" x14ac:dyDescent="0.2">
      <c r="A160" s="70">
        <v>704</v>
      </c>
      <c r="B160" s="58" t="str">
        <f>Overview!$L$2&amp;"-"&amp;A160</f>
        <v>P001-704</v>
      </c>
      <c r="C160" s="58"/>
      <c r="D160" s="58"/>
      <c r="E160" s="71"/>
      <c r="F160" s="71"/>
      <c r="G160" s="71"/>
      <c r="H160" s="71"/>
      <c r="I160" s="71"/>
      <c r="J160" s="71"/>
      <c r="K160" s="71"/>
      <c r="L160" s="72"/>
      <c r="M160" s="71"/>
      <c r="N160" s="71"/>
    </row>
    <row r="161" spans="1:14" x14ac:dyDescent="0.2">
      <c r="A161" s="70">
        <v>705</v>
      </c>
      <c r="B161" s="58" t="str">
        <f>Overview!$L$2&amp;"-"&amp;A161</f>
        <v>P001-705</v>
      </c>
      <c r="C161" s="58"/>
      <c r="D161" s="58"/>
      <c r="E161" s="71"/>
      <c r="F161" s="71"/>
      <c r="G161" s="71"/>
      <c r="H161" s="71"/>
      <c r="I161" s="71"/>
      <c r="J161" s="71"/>
      <c r="K161" s="71"/>
      <c r="L161" s="72"/>
      <c r="M161" s="71"/>
      <c r="N161" s="71"/>
    </row>
    <row r="162" spans="1:14" x14ac:dyDescent="0.2">
      <c r="A162" s="70">
        <v>706</v>
      </c>
      <c r="B162" s="58" t="str">
        <f>Overview!$L$2&amp;"-"&amp;A162</f>
        <v>P001-706</v>
      </c>
      <c r="C162" s="58"/>
      <c r="D162" s="58"/>
      <c r="E162" s="71"/>
      <c r="F162" s="71"/>
      <c r="G162" s="71"/>
      <c r="H162" s="71"/>
      <c r="I162" s="71"/>
      <c r="J162" s="71"/>
      <c r="K162" s="71"/>
      <c r="L162" s="72"/>
      <c r="M162" s="71"/>
      <c r="N162" s="71"/>
    </row>
    <row r="163" spans="1:14" x14ac:dyDescent="0.2">
      <c r="A163" s="70">
        <v>707</v>
      </c>
      <c r="B163" s="58" t="str">
        <f>Overview!$L$2&amp;"-"&amp;A163</f>
        <v>P001-707</v>
      </c>
      <c r="C163" s="58"/>
      <c r="D163" s="58"/>
      <c r="E163" s="71"/>
      <c r="F163" s="71"/>
      <c r="G163" s="71"/>
      <c r="H163" s="71"/>
      <c r="I163" s="71"/>
      <c r="J163" s="71"/>
      <c r="K163" s="71"/>
      <c r="L163" s="72"/>
      <c r="M163" s="71"/>
      <c r="N163" s="71"/>
    </row>
    <row r="164" spans="1:14" x14ac:dyDescent="0.2">
      <c r="A164" s="70">
        <v>708</v>
      </c>
      <c r="B164" s="58" t="str">
        <f>Overview!$L$2&amp;"-"&amp;A164</f>
        <v>P001-708</v>
      </c>
      <c r="C164" s="58"/>
      <c r="D164" s="58"/>
      <c r="E164" s="71"/>
      <c r="F164" s="71"/>
      <c r="G164" s="71"/>
      <c r="H164" s="71"/>
      <c r="I164" s="71"/>
      <c r="J164" s="71"/>
      <c r="K164" s="71"/>
      <c r="L164" s="72"/>
      <c r="M164" s="71"/>
      <c r="N164" s="71"/>
    </row>
    <row r="165" spans="1:14" x14ac:dyDescent="0.2">
      <c r="A165" s="70">
        <v>709</v>
      </c>
      <c r="B165" s="58" t="str">
        <f>Overview!$L$2&amp;"-"&amp;A165</f>
        <v>P001-709</v>
      </c>
      <c r="C165" s="58"/>
      <c r="D165" s="58"/>
      <c r="E165" s="71"/>
      <c r="F165" s="71"/>
      <c r="G165" s="71"/>
      <c r="H165" s="71"/>
      <c r="I165" s="71"/>
      <c r="J165" s="71"/>
      <c r="K165" s="71"/>
      <c r="L165" s="72"/>
      <c r="M165" s="71"/>
      <c r="N165" s="71"/>
    </row>
    <row r="166" spans="1:14" x14ac:dyDescent="0.2">
      <c r="A166" s="70">
        <v>710</v>
      </c>
      <c r="B166" s="58" t="str">
        <f>Overview!$L$2&amp;"-"&amp;A166</f>
        <v>P001-710</v>
      </c>
      <c r="C166" s="58"/>
      <c r="D166" s="58"/>
      <c r="E166" s="71"/>
      <c r="F166" s="71"/>
      <c r="G166" s="71"/>
      <c r="H166" s="71"/>
      <c r="I166" s="71"/>
      <c r="J166" s="71"/>
      <c r="K166" s="71"/>
      <c r="L166" s="72"/>
      <c r="M166" s="71"/>
      <c r="N166" s="71"/>
    </row>
    <row r="167" spans="1:14" x14ac:dyDescent="0.2">
      <c r="A167" s="70">
        <v>711</v>
      </c>
      <c r="B167" s="58" t="str">
        <f>Overview!$L$2&amp;"-"&amp;A167</f>
        <v>P001-711</v>
      </c>
      <c r="C167" s="58"/>
      <c r="D167" s="58"/>
      <c r="E167" s="71"/>
      <c r="F167" s="71"/>
      <c r="G167" s="71"/>
      <c r="H167" s="71"/>
      <c r="I167" s="71"/>
      <c r="J167" s="71"/>
      <c r="K167" s="71"/>
      <c r="L167" s="72"/>
      <c r="M167" s="71"/>
      <c r="N167" s="71"/>
    </row>
    <row r="168" spans="1:14" x14ac:dyDescent="0.2">
      <c r="A168" s="70">
        <v>712</v>
      </c>
      <c r="B168" s="58" t="str">
        <f>Overview!$L$2&amp;"-"&amp;A168</f>
        <v>P001-712</v>
      </c>
      <c r="C168" s="58"/>
      <c r="D168" s="58"/>
      <c r="E168" s="71"/>
      <c r="F168" s="71"/>
      <c r="G168" s="71"/>
      <c r="H168" s="71"/>
      <c r="I168" s="71"/>
      <c r="J168" s="71"/>
      <c r="K168" s="71"/>
      <c r="L168" s="72"/>
      <c r="M168" s="71"/>
      <c r="N168" s="71"/>
    </row>
    <row r="169" spans="1:14" x14ac:dyDescent="0.2">
      <c r="A169" s="70">
        <v>713</v>
      </c>
      <c r="B169" s="58" t="str">
        <f>Overview!$L$2&amp;"-"&amp;A169</f>
        <v>P001-713</v>
      </c>
      <c r="C169" s="58"/>
      <c r="D169" s="58"/>
      <c r="E169" s="71"/>
      <c r="F169" s="71"/>
      <c r="G169" s="71"/>
      <c r="H169" s="71"/>
      <c r="I169" s="71"/>
      <c r="J169" s="71"/>
      <c r="K169" s="71"/>
      <c r="L169" s="72"/>
      <c r="M169" s="71"/>
      <c r="N169" s="71"/>
    </row>
    <row r="170" spans="1:14" x14ac:dyDescent="0.2">
      <c r="A170" s="70">
        <v>714</v>
      </c>
      <c r="B170" s="58" t="str">
        <f>Overview!$L$2&amp;"-"&amp;A170</f>
        <v>P001-714</v>
      </c>
      <c r="C170" s="58"/>
      <c r="D170" s="58"/>
      <c r="E170" s="71"/>
      <c r="F170" s="71"/>
      <c r="G170" s="71"/>
      <c r="H170" s="71"/>
      <c r="I170" s="71"/>
      <c r="J170" s="71"/>
      <c r="K170" s="71"/>
      <c r="L170" s="72"/>
      <c r="M170" s="71"/>
      <c r="N170" s="71"/>
    </row>
    <row r="171" spans="1:14" x14ac:dyDescent="0.2">
      <c r="A171" s="70">
        <v>715</v>
      </c>
      <c r="B171" s="58" t="str">
        <f>Overview!$L$2&amp;"-"&amp;A171</f>
        <v>P001-715</v>
      </c>
      <c r="C171" s="58"/>
      <c r="D171" s="58"/>
      <c r="E171" s="71"/>
      <c r="F171" s="71"/>
      <c r="G171" s="71"/>
      <c r="H171" s="71"/>
      <c r="I171" s="71"/>
      <c r="J171" s="71"/>
      <c r="K171" s="71"/>
      <c r="L171" s="72"/>
      <c r="M171" s="71"/>
      <c r="N171" s="71"/>
    </row>
    <row r="172" spans="1:14" x14ac:dyDescent="0.2">
      <c r="A172" s="70">
        <v>716</v>
      </c>
      <c r="B172" s="58" t="str">
        <f>Overview!$L$2&amp;"-"&amp;A172</f>
        <v>P001-716</v>
      </c>
      <c r="C172" s="58"/>
      <c r="D172" s="58"/>
      <c r="E172" s="71"/>
      <c r="F172" s="71"/>
      <c r="G172" s="71"/>
      <c r="H172" s="71"/>
      <c r="I172" s="71"/>
      <c r="J172" s="71"/>
      <c r="K172" s="71"/>
      <c r="L172" s="72"/>
      <c r="M172" s="71"/>
      <c r="N172" s="71"/>
    </row>
    <row r="173" spans="1:14" x14ac:dyDescent="0.2">
      <c r="A173" s="70">
        <v>717</v>
      </c>
      <c r="B173" s="58" t="str">
        <f>Overview!$L$2&amp;"-"&amp;A173</f>
        <v>P001-717</v>
      </c>
      <c r="C173" s="58"/>
      <c r="D173" s="58"/>
      <c r="E173" s="71"/>
      <c r="F173" s="71"/>
      <c r="G173" s="71"/>
      <c r="H173" s="71"/>
      <c r="I173" s="71"/>
      <c r="J173" s="71"/>
      <c r="K173" s="71"/>
      <c r="L173" s="72"/>
      <c r="M173" s="71"/>
      <c r="N173" s="71"/>
    </row>
    <row r="174" spans="1:14" x14ac:dyDescent="0.2">
      <c r="A174" s="70">
        <v>718</v>
      </c>
      <c r="B174" s="58" t="str">
        <f>Overview!$L$2&amp;"-"&amp;A174</f>
        <v>P001-718</v>
      </c>
      <c r="C174" s="58"/>
      <c r="D174" s="58"/>
      <c r="E174" s="71"/>
      <c r="F174" s="71"/>
      <c r="G174" s="71"/>
      <c r="H174" s="71"/>
      <c r="I174" s="71"/>
      <c r="J174" s="71"/>
      <c r="K174" s="71"/>
      <c r="L174" s="72"/>
      <c r="M174" s="71"/>
      <c r="N174" s="71"/>
    </row>
    <row r="175" spans="1:14" x14ac:dyDescent="0.2">
      <c r="A175" s="70">
        <v>719</v>
      </c>
      <c r="B175" s="58" t="str">
        <f>Overview!$L$2&amp;"-"&amp;A175</f>
        <v>P001-719</v>
      </c>
      <c r="C175" s="58"/>
      <c r="D175" s="58"/>
      <c r="E175" s="71"/>
      <c r="F175" s="71"/>
      <c r="G175" s="71"/>
      <c r="H175" s="71"/>
      <c r="I175" s="71"/>
      <c r="J175" s="71"/>
      <c r="K175" s="71"/>
      <c r="L175" s="72"/>
      <c r="M175" s="71"/>
      <c r="N175" s="71"/>
    </row>
    <row r="176" spans="1:14" x14ac:dyDescent="0.2">
      <c r="A176" s="70">
        <v>720</v>
      </c>
      <c r="B176" s="58" t="str">
        <f>Overview!$L$2&amp;"-"&amp;A176</f>
        <v>P001-720</v>
      </c>
      <c r="C176" s="58"/>
      <c r="D176" s="58"/>
      <c r="E176" s="71"/>
      <c r="F176" s="71"/>
      <c r="G176" s="71"/>
      <c r="H176" s="71"/>
      <c r="I176" s="71"/>
      <c r="J176" s="71"/>
      <c r="K176" s="71"/>
      <c r="L176" s="72"/>
      <c r="M176" s="71"/>
      <c r="N176" s="71"/>
    </row>
  </sheetData>
  <mergeCells count="8">
    <mergeCell ref="C23:N23"/>
    <mergeCell ref="C2:N2"/>
    <mergeCell ref="C45:N45"/>
    <mergeCell ref="C67:N67"/>
    <mergeCell ref="C89:N89"/>
    <mergeCell ref="C111:N111"/>
    <mergeCell ref="C133:N133"/>
    <mergeCell ref="C155:N155"/>
  </mergeCells>
  <conditionalFormatting sqref="E3:F22 E24:F44 E46:F66 E68:F88 E177:F65536">
    <cfRule type="containsText" dxfId="1" priority="2" stopIfTrue="1" operator="containsText" text="WIP">
      <formula>NOT(ISERROR(SEARCH("WIP",E3)))</formula>
    </cfRule>
  </conditionalFormatting>
  <conditionalFormatting sqref="E90:F110">
    <cfRule type="containsText" dxfId="0" priority="1" stopIfTrue="1" operator="containsText" text="WIP">
      <formula>NOT(ISERROR(SEARCH("WIP",E90)))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7"/>
  <sheetViews>
    <sheetView workbookViewId="0">
      <selection activeCell="B7" sqref="B7"/>
    </sheetView>
  </sheetViews>
  <sheetFormatPr baseColWidth="10" defaultRowHeight="15" x14ac:dyDescent="0.2"/>
  <cols>
    <col min="1" max="1" width="16.33203125" style="19" customWidth="1"/>
    <col min="2" max="2" width="62.1640625" style="3" customWidth="1"/>
    <col min="3" max="3" width="15.1640625" style="20" customWidth="1"/>
    <col min="4" max="256" width="8.83203125" customWidth="1"/>
  </cols>
  <sheetData>
    <row r="1" spans="1:9" s="28" customFormat="1" ht="62.75" customHeight="1" x14ac:dyDescent="0.3">
      <c r="B1" s="77"/>
      <c r="C1" s="73"/>
      <c r="D1" s="26"/>
      <c r="E1" s="26"/>
      <c r="F1" s="26"/>
      <c r="G1" s="26"/>
      <c r="H1" s="27"/>
      <c r="I1" s="27"/>
    </row>
    <row r="3" spans="1:9" s="12" customFormat="1" ht="17" thickBot="1" x14ac:dyDescent="0.25">
      <c r="A3" s="9" t="s">
        <v>4</v>
      </c>
      <c r="B3" s="10" t="s">
        <v>26</v>
      </c>
      <c r="C3" s="11" t="s">
        <v>27</v>
      </c>
    </row>
    <row r="4" spans="1:9" ht="16" thickTop="1" x14ac:dyDescent="0.2">
      <c r="A4" s="13" t="s">
        <v>38</v>
      </c>
      <c r="B4" s="14"/>
      <c r="C4" s="15"/>
    </row>
    <row r="5" spans="1:9" x14ac:dyDescent="0.2">
      <c r="A5" s="16"/>
      <c r="B5" s="17"/>
      <c r="C5" s="18"/>
    </row>
    <row r="6" spans="1:9" x14ac:dyDescent="0.2">
      <c r="A6" s="16"/>
      <c r="B6" s="17"/>
      <c r="C6" s="18"/>
    </row>
    <row r="7" spans="1:9" x14ac:dyDescent="0.2">
      <c r="A7" s="16"/>
      <c r="B7" s="17"/>
      <c r="C7" s="18"/>
    </row>
  </sheetData>
  <mergeCells count="1">
    <mergeCell ref="B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4"/>
  <sheetViews>
    <sheetView workbookViewId="0">
      <selection activeCell="A31" sqref="A31"/>
    </sheetView>
  </sheetViews>
  <sheetFormatPr baseColWidth="10" defaultRowHeight="15" x14ac:dyDescent="0.2"/>
  <cols>
    <col min="1" max="1" width="16.5" style="7" customWidth="1"/>
    <col min="2" max="2" width="98.5" style="4" customWidth="1"/>
    <col min="3" max="256" width="8.83203125" customWidth="1"/>
  </cols>
  <sheetData>
    <row r="1" spans="1:11" s="28" customFormat="1" ht="62.75" customHeight="1" x14ac:dyDescent="0.3">
      <c r="B1" s="41" t="s">
        <v>33</v>
      </c>
      <c r="D1" s="26"/>
      <c r="E1" s="26"/>
      <c r="F1" s="26"/>
      <c r="G1" s="26"/>
      <c r="H1" s="27"/>
      <c r="I1" s="27"/>
    </row>
    <row r="2" spans="1:11" ht="17" thickBot="1" x14ac:dyDescent="0.25">
      <c r="A2" s="39" t="s">
        <v>31</v>
      </c>
      <c r="B2" s="40" t="s">
        <v>32</v>
      </c>
    </row>
    <row r="3" spans="1:11" ht="33" thickTop="1" x14ac:dyDescent="0.2">
      <c r="A3" s="5" t="s">
        <v>19</v>
      </c>
      <c r="B3" s="8" t="s">
        <v>20</v>
      </c>
    </row>
    <row r="4" spans="1:11" ht="27" customHeight="1" x14ac:dyDescent="0.2">
      <c r="A4" s="6" t="s">
        <v>6</v>
      </c>
      <c r="B4" s="8" t="s">
        <v>30</v>
      </c>
      <c r="C4" s="1"/>
      <c r="D4" s="1"/>
      <c r="E4" s="1"/>
      <c r="F4" s="1"/>
      <c r="G4" s="1"/>
      <c r="H4" s="1"/>
      <c r="I4" s="1"/>
      <c r="J4" s="1"/>
      <c r="K4" s="1"/>
    </row>
    <row r="5" spans="1:11" ht="16" x14ac:dyDescent="0.2">
      <c r="A5" s="6" t="s">
        <v>7</v>
      </c>
      <c r="B5" s="8" t="s">
        <v>15</v>
      </c>
      <c r="C5" s="1"/>
      <c r="D5" s="1"/>
      <c r="E5" s="1"/>
      <c r="F5" s="1"/>
      <c r="G5" s="1"/>
      <c r="H5" s="1"/>
      <c r="I5" s="1"/>
      <c r="J5" s="1"/>
      <c r="K5" s="1"/>
    </row>
    <row r="6" spans="1:11" ht="16" x14ac:dyDescent="0.2">
      <c r="A6" s="6" t="s">
        <v>5</v>
      </c>
      <c r="B6" s="8" t="s">
        <v>16</v>
      </c>
      <c r="C6" s="2"/>
      <c r="D6" s="2"/>
      <c r="E6" s="2"/>
      <c r="F6" s="2"/>
      <c r="G6" s="2"/>
      <c r="H6" s="2"/>
      <c r="I6" s="2"/>
      <c r="J6" s="2"/>
      <c r="K6" s="2"/>
    </row>
    <row r="7" spans="1:11" ht="16" x14ac:dyDescent="0.2">
      <c r="A7" s="6" t="s">
        <v>4</v>
      </c>
      <c r="B7" s="8" t="s">
        <v>17</v>
      </c>
      <c r="C7" s="1"/>
      <c r="D7" s="1"/>
      <c r="E7" s="1"/>
      <c r="F7" s="1"/>
      <c r="G7" s="1"/>
      <c r="H7" s="1"/>
      <c r="I7" s="1"/>
      <c r="J7" s="1"/>
      <c r="K7" s="1"/>
    </row>
    <row r="8" spans="1:11" ht="32" x14ac:dyDescent="0.2">
      <c r="A8" s="6" t="s">
        <v>8</v>
      </c>
      <c r="B8" s="8" t="s">
        <v>29</v>
      </c>
      <c r="C8" s="1"/>
      <c r="D8" s="1"/>
      <c r="E8" s="1"/>
      <c r="F8" s="1"/>
      <c r="G8" s="1"/>
      <c r="H8" s="1"/>
      <c r="I8" s="1"/>
      <c r="J8" s="1"/>
      <c r="K8" s="1"/>
    </row>
    <row r="9" spans="1:11" ht="16" x14ac:dyDescent="0.2">
      <c r="A9" s="6" t="s">
        <v>9</v>
      </c>
      <c r="B9" s="8" t="s">
        <v>18</v>
      </c>
      <c r="C9" s="2"/>
      <c r="D9" s="2"/>
      <c r="E9" s="2"/>
      <c r="F9" s="2"/>
      <c r="G9" s="2"/>
      <c r="H9" s="2"/>
      <c r="I9" s="2"/>
      <c r="J9" s="2"/>
      <c r="K9" s="2"/>
    </row>
    <row r="10" spans="1:11" ht="32" x14ac:dyDescent="0.2">
      <c r="A10" s="6" t="s">
        <v>10</v>
      </c>
      <c r="B10" s="8" t="s">
        <v>21</v>
      </c>
      <c r="C10" s="1"/>
      <c r="D10" s="1"/>
      <c r="E10" s="1"/>
      <c r="F10" s="1"/>
      <c r="G10" s="1"/>
      <c r="H10" s="1"/>
      <c r="I10" s="1"/>
      <c r="J10" s="1"/>
      <c r="K10" s="1"/>
    </row>
    <row r="11" spans="1:11" ht="32" x14ac:dyDescent="0.2">
      <c r="A11" s="6" t="s">
        <v>11</v>
      </c>
      <c r="B11" s="8" t="s">
        <v>22</v>
      </c>
      <c r="C11" s="1"/>
      <c r="D11" s="1"/>
      <c r="E11" s="1"/>
      <c r="F11" s="1"/>
      <c r="G11" s="1"/>
      <c r="H11" s="1"/>
      <c r="I11" s="1"/>
      <c r="J11" s="1"/>
      <c r="K11" s="1"/>
    </row>
    <row r="12" spans="1:11" ht="16" x14ac:dyDescent="0.2">
      <c r="A12" s="6" t="s">
        <v>12</v>
      </c>
      <c r="B12" s="8" t="s">
        <v>23</v>
      </c>
      <c r="C12" s="1"/>
      <c r="D12" s="1"/>
      <c r="E12" s="1"/>
      <c r="F12" s="1"/>
      <c r="G12" s="1"/>
      <c r="H12" s="1"/>
      <c r="I12" s="1"/>
      <c r="J12" s="1"/>
      <c r="K12" s="1"/>
    </row>
    <row r="13" spans="1:11" ht="32" x14ac:dyDescent="0.2">
      <c r="A13" s="6" t="s">
        <v>13</v>
      </c>
      <c r="B13" s="8" t="s">
        <v>24</v>
      </c>
      <c r="C13" s="2"/>
      <c r="D13" s="2"/>
      <c r="E13" s="2"/>
      <c r="F13" s="2"/>
      <c r="G13" s="2"/>
      <c r="H13" s="2"/>
      <c r="I13" s="2"/>
      <c r="J13" s="2"/>
      <c r="K13" s="2"/>
    </row>
    <row r="14" spans="1:11" ht="16" x14ac:dyDescent="0.2">
      <c r="A14" s="6" t="s">
        <v>14</v>
      </c>
      <c r="B14" s="8" t="s">
        <v>25</v>
      </c>
      <c r="C14" s="2"/>
      <c r="D14" s="2"/>
      <c r="E14" s="2"/>
      <c r="F14" s="2"/>
      <c r="G14" s="2"/>
      <c r="H14" s="2"/>
      <c r="I14" s="2"/>
      <c r="J14" s="2"/>
      <c r="K14" s="2"/>
    </row>
  </sheetData>
  <pageMargins left="0.7" right="0.7" top="0.75" bottom="0.75" header="0.3" footer="0.3"/>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Overview</vt:lpstr>
      <vt:lpstr>BOM</vt:lpstr>
      <vt:lpstr> Revision Table</vt:lpstr>
      <vt:lpstr>Explanation</vt:lpstr>
      <vt:lpstr>Overview!Print_Titles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Lavery</dc:creator>
  <cp:lastModifiedBy>Microsoft Office User</cp:lastModifiedBy>
  <cp:lastPrinted>2011-07-15T00:29:26Z</cp:lastPrinted>
  <dcterms:created xsi:type="dcterms:W3CDTF">2010-06-15T00:51:59Z</dcterms:created>
  <dcterms:modified xsi:type="dcterms:W3CDTF">2019-09-04T08:10:50Z</dcterms:modified>
</cp:coreProperties>
</file>